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ooe-my.sharepoint.com/personal/s2310307083_fhooe_at/Documents/Hagenberg/Bachelorarbeit2025-26/WebsiteVorschau/Visulisation/"/>
    </mc:Choice>
  </mc:AlternateContent>
  <xr:revisionPtr revIDLastSave="532" documentId="8_{D010FF73-5F9C-4556-962E-81E5C6D0207B}" xr6:coauthVersionLast="47" xr6:coauthVersionMax="47" xr10:uidLastSave="{4A7332CB-465C-410C-B564-9AD9B93ED4CD}"/>
  <bookViews>
    <workbookView xWindow="-120" yWindow="-120" windowWidth="38640" windowHeight="21120" xr2:uid="{587AFEF8-2E2A-4687-9884-DC36B90FBF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" i="1" l="1"/>
  <c r="AD9" i="1"/>
  <c r="AE9" i="1"/>
  <c r="AF9" i="1"/>
  <c r="AD4" i="1"/>
  <c r="AE4" i="1"/>
  <c r="AF4" i="1"/>
  <c r="AD3" i="1"/>
  <c r="AE3" i="1"/>
  <c r="AF3" i="1"/>
  <c r="AF2" i="1"/>
  <c r="AE2" i="1"/>
  <c r="AD2" i="1"/>
  <c r="AF5" i="1"/>
  <c r="AF6" i="1"/>
  <c r="AF7" i="1"/>
  <c r="AE5" i="1"/>
  <c r="AE6" i="1"/>
  <c r="AE7" i="1"/>
  <c r="AD5" i="1"/>
  <c r="AD6" i="1"/>
  <c r="AD7" i="1"/>
  <c r="AD12" i="1"/>
  <c r="AD11" i="1"/>
  <c r="AF13" i="1"/>
  <c r="AE11" i="1"/>
  <c r="AE8" i="1"/>
  <c r="AE12" i="1"/>
  <c r="AE13" i="1"/>
  <c r="AF11" i="1"/>
  <c r="AF8" i="1"/>
  <c r="AF10" i="1"/>
  <c r="AE10" i="1"/>
  <c r="AD8" i="1"/>
  <c r="AD13" i="1"/>
  <c r="AD10" i="1"/>
</calcChain>
</file>

<file path=xl/sharedStrings.xml><?xml version="1.0" encoding="utf-8"?>
<sst xmlns="http://schemas.openxmlformats.org/spreadsheetml/2006/main" count="80" uniqueCount="40">
  <si>
    <t>Chrome</t>
  </si>
  <si>
    <t>JS</t>
  </si>
  <si>
    <t>WASM</t>
  </si>
  <si>
    <t>1,5M</t>
  </si>
  <si>
    <t>Browser</t>
  </si>
  <si>
    <t>Strategie</t>
  </si>
  <si>
    <t>Sprache</t>
  </si>
  <si>
    <t>Firefox</t>
  </si>
  <si>
    <t>Datenpunkte</t>
  </si>
  <si>
    <t>Mittelwert</t>
  </si>
  <si>
    <t>Median</t>
  </si>
  <si>
    <t>Zeit 1</t>
  </si>
  <si>
    <t>Zeit 2</t>
  </si>
  <si>
    <t>Zeit 3</t>
  </si>
  <si>
    <t>Zeit 4</t>
  </si>
  <si>
    <t>Zeit 5</t>
  </si>
  <si>
    <t>Zeit 6</t>
  </si>
  <si>
    <t>Zeit 7</t>
  </si>
  <si>
    <t>Zeit 8</t>
  </si>
  <si>
    <t>Zeit 9</t>
  </si>
  <si>
    <t>Zeit 10</t>
  </si>
  <si>
    <t>Zeit 11</t>
  </si>
  <si>
    <t>Zeit 12</t>
  </si>
  <si>
    <t>Zeit 13</t>
  </si>
  <si>
    <t>Zeit 14</t>
  </si>
  <si>
    <t>Zeit 15</t>
  </si>
  <si>
    <t>Zeit 16</t>
  </si>
  <si>
    <t>Zeit 17</t>
  </si>
  <si>
    <t>Zeit 18</t>
  </si>
  <si>
    <t>Zeit 19</t>
  </si>
  <si>
    <t>Zeit 20</t>
  </si>
  <si>
    <t>Zeit 21</t>
  </si>
  <si>
    <t>Zeit 22</t>
  </si>
  <si>
    <t>Zeit 23</t>
  </si>
  <si>
    <t>Zeit 24</t>
  </si>
  <si>
    <t>Zeit 25</t>
  </si>
  <si>
    <t>Ausbruch</t>
  </si>
  <si>
    <t>Durchschnittsüberschneidung</t>
  </si>
  <si>
    <t>Mittelwertrückkehr</t>
  </si>
  <si>
    <t>Standartabweichung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</si>
</sst>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pto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" fontId="1" fillId="0" borderId="0" xfId="0" applyNumberFormat="1" applyFon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1" fontId="0" fillId="0" borderId="0" xfId="0" applyNumberFormat="1"/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/>
    </xf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E1B5-D66C-405C-A2B2-B9C05807B709}">
  <dimension ref="A1:AG52"/>
  <sheetViews>
    <sheetView tabSelected="1" zoomScale="85" zoomScaleNormal="85" workbookViewId="0">
      <selection activeCell="T33" sqref="T33"/>
    </sheetView>
  </sheetViews>
  <sheetFormatPr baseColWidth="10" defaultRowHeight="15" x14ac:dyDescent="0.25"/>
  <cols>
    <col min="2" max="2" width="28" bestFit="1" customWidth="1"/>
    <col min="3" max="3" width="14.85546875" bestFit="1" customWidth="1"/>
    <col min="4" max="4" width="15" customWidth="1"/>
    <col min="5" max="5" width="10.5703125" customWidth="1"/>
    <col min="6" max="9" width="6.7109375" bestFit="1" customWidth="1"/>
    <col min="10" max="10" width="7.28515625" bestFit="1" customWidth="1"/>
    <col min="11" max="13" width="6.7109375" bestFit="1" customWidth="1"/>
    <col min="14" max="14" width="7.28515625" bestFit="1" customWidth="1"/>
    <col min="15" max="15" width="7.85546875" customWidth="1"/>
    <col min="16" max="16" width="8.5703125" customWidth="1"/>
    <col min="17" max="17" width="7.42578125" customWidth="1"/>
    <col min="18" max="18" width="8.42578125" customWidth="1"/>
    <col min="19" max="19" width="8.7109375" customWidth="1"/>
    <col min="20" max="20" width="9" customWidth="1"/>
    <col min="21" max="21" width="8.28515625" customWidth="1"/>
    <col min="22" max="22" width="8.42578125" customWidth="1"/>
    <col min="23" max="23" width="7.7109375" customWidth="1"/>
    <col min="24" max="24" width="7.85546875" customWidth="1"/>
    <col min="25" max="25" width="8.7109375" customWidth="1"/>
    <col min="26" max="27" width="8.28515625" customWidth="1"/>
    <col min="28" max="28" width="7.85546875" customWidth="1"/>
    <col min="29" max="30" width="10" customWidth="1"/>
    <col min="31" max="31" width="11.5703125" bestFit="1" customWidth="1"/>
    <col min="32" max="32" width="19.28515625" bestFit="1" customWidth="1"/>
  </cols>
  <sheetData>
    <row r="1" spans="1:33" x14ac:dyDescent="0.25">
      <c r="A1" s="7" t="s">
        <v>4</v>
      </c>
      <c r="B1" s="6" t="s">
        <v>5</v>
      </c>
      <c r="C1" s="6" t="s">
        <v>6</v>
      </c>
      <c r="D1" s="6" t="s">
        <v>8</v>
      </c>
      <c r="E1" s="6" t="s">
        <v>11</v>
      </c>
      <c r="F1" t="s">
        <v>12</v>
      </c>
      <c r="G1" s="6" t="s">
        <v>13</v>
      </c>
      <c r="H1" t="s">
        <v>14</v>
      </c>
      <c r="I1" s="6" t="s">
        <v>15</v>
      </c>
      <c r="J1" t="s">
        <v>16</v>
      </c>
      <c r="K1" s="6" t="s">
        <v>17</v>
      </c>
      <c r="L1" t="s">
        <v>18</v>
      </c>
      <c r="M1" s="6" t="s">
        <v>19</v>
      </c>
      <c r="N1" t="s">
        <v>20</v>
      </c>
      <c r="O1" s="6" t="s">
        <v>21</v>
      </c>
      <c r="P1" t="s">
        <v>22</v>
      </c>
      <c r="Q1" s="6" t="s">
        <v>23</v>
      </c>
      <c r="R1" t="s">
        <v>24</v>
      </c>
      <c r="S1" s="6" t="s">
        <v>25</v>
      </c>
      <c r="T1" t="s">
        <v>26</v>
      </c>
      <c r="U1" s="6" t="s">
        <v>27</v>
      </c>
      <c r="V1" t="s">
        <v>28</v>
      </c>
      <c r="W1" s="6" t="s">
        <v>29</v>
      </c>
      <c r="X1" t="s">
        <v>30</v>
      </c>
      <c r="Y1" s="6" t="s">
        <v>31</v>
      </c>
      <c r="Z1" t="s">
        <v>32</v>
      </c>
      <c r="AA1" s="6" t="s">
        <v>33</v>
      </c>
      <c r="AB1" t="s">
        <v>34</v>
      </c>
      <c r="AC1" s="6" t="s">
        <v>35</v>
      </c>
      <c r="AD1" t="s">
        <v>9</v>
      </c>
      <c r="AE1" t="s">
        <v>10</v>
      </c>
      <c r="AF1" t="s">
        <v>39</v>
      </c>
    </row>
    <row r="2" spans="1:33" x14ac:dyDescent="0.25">
      <c r="A2" s="1" t="s">
        <v>7</v>
      </c>
      <c r="B2" s="1" t="s">
        <v>37</v>
      </c>
      <c r="C2" s="1" t="s">
        <v>1</v>
      </c>
      <c r="D2" s="1" t="s">
        <v>3</v>
      </c>
      <c r="E2" s="8">
        <v>170</v>
      </c>
      <c r="F2" s="8">
        <v>171</v>
      </c>
      <c r="G2" s="8">
        <v>174</v>
      </c>
      <c r="H2" s="8">
        <v>192</v>
      </c>
      <c r="I2" s="8">
        <v>159</v>
      </c>
      <c r="J2" s="9">
        <v>179</v>
      </c>
      <c r="K2" s="9">
        <v>181</v>
      </c>
      <c r="L2" s="9">
        <v>173</v>
      </c>
      <c r="M2" s="9">
        <v>175</v>
      </c>
      <c r="N2" s="9">
        <v>162</v>
      </c>
      <c r="O2" s="9">
        <v>177</v>
      </c>
      <c r="P2" s="10">
        <v>184</v>
      </c>
      <c r="Q2" s="9">
        <v>160</v>
      </c>
      <c r="R2" s="9">
        <v>195</v>
      </c>
      <c r="S2" s="9">
        <v>191</v>
      </c>
      <c r="T2" s="8">
        <v>189</v>
      </c>
      <c r="U2" s="8">
        <v>176</v>
      </c>
      <c r="V2" s="8">
        <v>201</v>
      </c>
      <c r="W2" s="8">
        <v>211</v>
      </c>
      <c r="X2" s="8">
        <v>223</v>
      </c>
      <c r="Y2" s="10">
        <v>200</v>
      </c>
      <c r="Z2" s="9">
        <v>187</v>
      </c>
      <c r="AA2" s="9">
        <v>202</v>
      </c>
      <c r="AB2" s="9">
        <v>171</v>
      </c>
      <c r="AC2" s="9">
        <v>185</v>
      </c>
      <c r="AD2" s="13">
        <f t="shared" ref="AD2" si="0">AVERAGE(E2:AC2)</f>
        <v>183.52</v>
      </c>
      <c r="AE2" s="11">
        <f t="shared" ref="AE2" si="1">MEDIAN(E2:AC2)</f>
        <v>181</v>
      </c>
      <c r="AF2" s="5">
        <f t="shared" ref="AF2" si="2">_xlfn.STDEV.S(E2:AC2)</f>
        <v>15.877447317920263</v>
      </c>
    </row>
    <row r="3" spans="1:33" x14ac:dyDescent="0.25">
      <c r="A3" s="1" t="s">
        <v>7</v>
      </c>
      <c r="B3" s="1" t="s">
        <v>37</v>
      </c>
      <c r="C3" s="1" t="s">
        <v>2</v>
      </c>
      <c r="D3" s="1" t="s">
        <v>3</v>
      </c>
      <c r="E3" s="12">
        <v>180</v>
      </c>
      <c r="F3" s="12">
        <v>172</v>
      </c>
      <c r="G3" s="12">
        <v>167</v>
      </c>
      <c r="H3" s="12">
        <v>203</v>
      </c>
      <c r="I3" s="9">
        <v>167</v>
      </c>
      <c r="J3" s="8">
        <v>170</v>
      </c>
      <c r="K3" s="9">
        <v>164</v>
      </c>
      <c r="L3" s="9">
        <v>173</v>
      </c>
      <c r="M3" s="9">
        <v>190</v>
      </c>
      <c r="N3" s="8">
        <v>190</v>
      </c>
      <c r="O3" s="8">
        <v>198</v>
      </c>
      <c r="P3" s="10">
        <v>201</v>
      </c>
      <c r="Q3" s="9">
        <v>182</v>
      </c>
      <c r="R3" s="9">
        <v>188</v>
      </c>
      <c r="S3" s="9">
        <v>195</v>
      </c>
      <c r="T3" s="9">
        <v>179</v>
      </c>
      <c r="U3" s="9">
        <v>191</v>
      </c>
      <c r="V3" s="9">
        <v>198</v>
      </c>
      <c r="W3" s="9">
        <v>189</v>
      </c>
      <c r="X3" s="9">
        <v>183</v>
      </c>
      <c r="Y3" s="9">
        <v>188</v>
      </c>
      <c r="Z3" s="9">
        <v>194</v>
      </c>
      <c r="AA3" s="9">
        <v>201</v>
      </c>
      <c r="AB3" s="9">
        <v>166</v>
      </c>
      <c r="AC3" s="9">
        <v>173</v>
      </c>
      <c r="AD3" s="13">
        <f t="shared" ref="AD3" si="3">AVERAGE(E3:AC3)</f>
        <v>184.08</v>
      </c>
      <c r="AE3" s="11">
        <f t="shared" ref="AE3" si="4">MEDIAN(E3:AC3)</f>
        <v>188</v>
      </c>
      <c r="AF3" s="5">
        <f t="shared" ref="AF3" si="5">_xlfn.STDEV.S(E3:AC3)</f>
        <v>12.348819106835005</v>
      </c>
    </row>
    <row r="4" spans="1:33" x14ac:dyDescent="0.25">
      <c r="A4" s="1" t="s">
        <v>7</v>
      </c>
      <c r="B4" s="1" t="s">
        <v>36</v>
      </c>
      <c r="C4" s="1" t="s">
        <v>1</v>
      </c>
      <c r="D4" s="1" t="s">
        <v>3</v>
      </c>
      <c r="E4" s="12">
        <v>456</v>
      </c>
      <c r="F4" s="12">
        <v>428</v>
      </c>
      <c r="G4" s="12">
        <v>516</v>
      </c>
      <c r="H4" s="12">
        <v>465</v>
      </c>
      <c r="I4" s="9">
        <v>439</v>
      </c>
      <c r="J4" s="8">
        <v>445</v>
      </c>
      <c r="K4" s="9">
        <v>459</v>
      </c>
      <c r="L4" s="9">
        <v>472</v>
      </c>
      <c r="M4" s="9">
        <v>458</v>
      </c>
      <c r="N4" s="8">
        <v>447</v>
      </c>
      <c r="O4" s="8">
        <v>463</v>
      </c>
      <c r="P4" s="10">
        <v>451</v>
      </c>
      <c r="Q4" s="9">
        <v>475</v>
      </c>
      <c r="R4" s="9">
        <v>467</v>
      </c>
      <c r="S4" s="9">
        <v>447</v>
      </c>
      <c r="T4" s="9">
        <v>505</v>
      </c>
      <c r="U4" s="9">
        <v>486</v>
      </c>
      <c r="V4" s="9">
        <v>489</v>
      </c>
      <c r="W4" s="9">
        <v>451</v>
      </c>
      <c r="X4" s="9">
        <v>437</v>
      </c>
      <c r="Y4" s="9">
        <v>479</v>
      </c>
      <c r="Z4" s="9">
        <v>474</v>
      </c>
      <c r="AA4" s="9">
        <v>427</v>
      </c>
      <c r="AB4" s="9">
        <v>472</v>
      </c>
      <c r="AC4" s="9">
        <v>434</v>
      </c>
      <c r="AD4" s="13">
        <f t="shared" ref="AD4" si="6">AVERAGE(E4:AC4)</f>
        <v>461.68</v>
      </c>
      <c r="AE4" s="11">
        <f t="shared" ref="AE4" si="7">MEDIAN(E4:AC4)</f>
        <v>459</v>
      </c>
      <c r="AF4" s="5">
        <f t="shared" ref="AF4" si="8">_xlfn.STDEV.S(E4:AC4)</f>
        <v>22.606636193825917</v>
      </c>
    </row>
    <row r="5" spans="1:33" x14ac:dyDescent="0.25">
      <c r="A5" s="1" t="s">
        <v>7</v>
      </c>
      <c r="B5" s="1" t="s">
        <v>36</v>
      </c>
      <c r="C5" s="1" t="s">
        <v>2</v>
      </c>
      <c r="D5" s="1" t="s">
        <v>3</v>
      </c>
      <c r="E5" s="12">
        <v>362</v>
      </c>
      <c r="F5" s="12">
        <v>356</v>
      </c>
      <c r="G5" s="12">
        <v>336</v>
      </c>
      <c r="H5" s="12">
        <v>328</v>
      </c>
      <c r="I5" s="9">
        <v>397</v>
      </c>
      <c r="J5" s="8">
        <v>395</v>
      </c>
      <c r="K5" s="9">
        <v>365</v>
      </c>
      <c r="L5" s="9">
        <v>363</v>
      </c>
      <c r="M5" s="12">
        <v>354</v>
      </c>
      <c r="N5" s="8">
        <v>386</v>
      </c>
      <c r="O5" s="8">
        <v>380</v>
      </c>
      <c r="P5" s="10">
        <v>367</v>
      </c>
      <c r="Q5" s="9">
        <v>382</v>
      </c>
      <c r="R5" s="9">
        <v>366</v>
      </c>
      <c r="S5" s="9">
        <v>387</v>
      </c>
      <c r="T5" s="9">
        <v>379</v>
      </c>
      <c r="U5" s="9">
        <v>381</v>
      </c>
      <c r="V5" s="9">
        <v>383</v>
      </c>
      <c r="W5" s="9">
        <v>365</v>
      </c>
      <c r="X5" s="9">
        <v>342</v>
      </c>
      <c r="Y5" s="9">
        <v>377</v>
      </c>
      <c r="Z5" s="9">
        <v>387</v>
      </c>
      <c r="AA5" s="9">
        <v>358</v>
      </c>
      <c r="AB5" s="9">
        <v>364</v>
      </c>
      <c r="AC5" s="9">
        <v>314</v>
      </c>
      <c r="AD5" s="13">
        <f t="shared" ref="AD5:AD7" si="9">AVERAGE(E5:AC5)</f>
        <v>366.96</v>
      </c>
      <c r="AE5" s="11">
        <f t="shared" ref="AE5:AE7" si="10">MEDIAN(E5:AC5)</f>
        <v>366</v>
      </c>
      <c r="AF5" s="5">
        <f t="shared" ref="AF5:AF7" si="11">_xlfn.STDEV.S(E5:AC5)</f>
        <v>20.697181772727738</v>
      </c>
    </row>
    <row r="6" spans="1:33" x14ac:dyDescent="0.25">
      <c r="A6" s="1" t="s">
        <v>7</v>
      </c>
      <c r="B6" s="1" t="s">
        <v>38</v>
      </c>
      <c r="C6" s="1" t="s">
        <v>1</v>
      </c>
      <c r="D6" s="1" t="s">
        <v>3</v>
      </c>
      <c r="E6" s="12">
        <v>1390</v>
      </c>
      <c r="F6" s="12">
        <v>1430</v>
      </c>
      <c r="G6" s="12">
        <v>1504</v>
      </c>
      <c r="H6" s="12">
        <v>1393</v>
      </c>
      <c r="I6" s="9">
        <v>1361</v>
      </c>
      <c r="J6" s="8">
        <v>1417</v>
      </c>
      <c r="K6" s="9">
        <v>1441</v>
      </c>
      <c r="L6" s="9">
        <v>1422</v>
      </c>
      <c r="M6" s="9">
        <v>1373</v>
      </c>
      <c r="N6" s="8">
        <v>1391</v>
      </c>
      <c r="O6" s="8">
        <v>1391</v>
      </c>
      <c r="P6" s="10">
        <v>1371</v>
      </c>
      <c r="Q6" s="9">
        <v>1381</v>
      </c>
      <c r="R6" s="9">
        <v>1366</v>
      </c>
      <c r="S6" s="9">
        <v>1429</v>
      </c>
      <c r="T6" s="9">
        <v>1419</v>
      </c>
      <c r="U6" s="9">
        <v>1451</v>
      </c>
      <c r="V6" s="9">
        <v>1423</v>
      </c>
      <c r="W6" s="9">
        <v>1389</v>
      </c>
      <c r="X6" s="9">
        <v>1389</v>
      </c>
      <c r="Y6" s="9">
        <v>1438</v>
      </c>
      <c r="Z6" s="9">
        <v>1399</v>
      </c>
      <c r="AA6" s="9">
        <v>1453</v>
      </c>
      <c r="AB6" s="9">
        <v>1378</v>
      </c>
      <c r="AC6" s="9">
        <v>1430</v>
      </c>
      <c r="AD6" s="13">
        <f t="shared" si="9"/>
        <v>1409.16</v>
      </c>
      <c r="AE6" s="11">
        <f t="shared" si="10"/>
        <v>1399</v>
      </c>
      <c r="AF6" s="5">
        <f t="shared" si="11"/>
        <v>33.667095706837159</v>
      </c>
    </row>
    <row r="7" spans="1:33" x14ac:dyDescent="0.25">
      <c r="A7" s="1" t="s">
        <v>7</v>
      </c>
      <c r="B7" s="1" t="s">
        <v>38</v>
      </c>
      <c r="C7" s="1" t="s">
        <v>2</v>
      </c>
      <c r="D7" s="1" t="s">
        <v>3</v>
      </c>
      <c r="E7" s="12">
        <v>381</v>
      </c>
      <c r="F7" s="12">
        <v>364</v>
      </c>
      <c r="G7" s="12">
        <v>375</v>
      </c>
      <c r="H7" s="12">
        <v>354</v>
      </c>
      <c r="I7" s="9">
        <v>384</v>
      </c>
      <c r="J7" s="8">
        <v>407</v>
      </c>
      <c r="K7" s="9">
        <v>386</v>
      </c>
      <c r="L7" s="9">
        <v>358</v>
      </c>
      <c r="M7" s="9">
        <v>365</v>
      </c>
      <c r="N7" s="8">
        <v>377</v>
      </c>
      <c r="O7" s="8">
        <v>401</v>
      </c>
      <c r="P7" s="10">
        <v>370</v>
      </c>
      <c r="Q7" s="9">
        <v>334</v>
      </c>
      <c r="R7" s="9">
        <v>361</v>
      </c>
      <c r="S7" s="9">
        <v>332</v>
      </c>
      <c r="T7" s="10">
        <v>377</v>
      </c>
      <c r="U7" s="9">
        <v>351</v>
      </c>
      <c r="V7" s="9">
        <v>351</v>
      </c>
      <c r="W7" s="9">
        <v>337</v>
      </c>
      <c r="X7" s="9">
        <v>394</v>
      </c>
      <c r="Y7" s="9">
        <v>368</v>
      </c>
      <c r="Z7" s="9">
        <v>385</v>
      </c>
      <c r="AA7" s="9">
        <v>352</v>
      </c>
      <c r="AB7" s="9">
        <v>357</v>
      </c>
      <c r="AC7" s="9">
        <v>376</v>
      </c>
      <c r="AD7" s="13">
        <f t="shared" si="9"/>
        <v>367.88</v>
      </c>
      <c r="AE7" s="11">
        <f t="shared" si="10"/>
        <v>368</v>
      </c>
      <c r="AF7" s="5">
        <f t="shared" si="11"/>
        <v>19.727983509049608</v>
      </c>
    </row>
    <row r="8" spans="1:33" x14ac:dyDescent="0.25">
      <c r="A8" s="1" t="s">
        <v>0</v>
      </c>
      <c r="B8" s="1" t="s">
        <v>37</v>
      </c>
      <c r="C8" s="1" t="s">
        <v>1</v>
      </c>
      <c r="D8" s="1" t="s">
        <v>3</v>
      </c>
      <c r="E8" s="12">
        <v>293</v>
      </c>
      <c r="F8" s="12">
        <v>305</v>
      </c>
      <c r="G8" s="12">
        <v>294</v>
      </c>
      <c r="H8" s="12">
        <v>288</v>
      </c>
      <c r="I8" s="12">
        <v>287</v>
      </c>
      <c r="J8" s="12">
        <v>284</v>
      </c>
      <c r="K8" s="12">
        <v>292</v>
      </c>
      <c r="L8" s="12">
        <v>293</v>
      </c>
      <c r="M8" s="12">
        <v>304</v>
      </c>
      <c r="N8" s="12">
        <v>305</v>
      </c>
      <c r="O8" s="12">
        <v>298</v>
      </c>
      <c r="P8" s="12">
        <v>295</v>
      </c>
      <c r="Q8" s="12">
        <v>294</v>
      </c>
      <c r="R8" s="12">
        <v>298</v>
      </c>
      <c r="S8" s="12">
        <v>303</v>
      </c>
      <c r="T8" s="12">
        <v>300</v>
      </c>
      <c r="U8" s="12">
        <v>303</v>
      </c>
      <c r="V8" s="12">
        <v>301</v>
      </c>
      <c r="W8" s="12">
        <v>287</v>
      </c>
      <c r="X8" s="12">
        <v>279</v>
      </c>
      <c r="Y8" s="12">
        <v>277</v>
      </c>
      <c r="Z8" s="12">
        <v>290</v>
      </c>
      <c r="AA8" s="12">
        <v>280</v>
      </c>
      <c r="AB8" s="12">
        <v>293</v>
      </c>
      <c r="AC8" s="12">
        <v>299</v>
      </c>
      <c r="AD8" s="13">
        <f>AVERAGE(E8:AC8)</f>
        <v>293.68</v>
      </c>
      <c r="AE8" s="11">
        <f>MEDIAN(E8:AC8)</f>
        <v>294</v>
      </c>
      <c r="AF8" s="5">
        <f>_xlfn.STDEV.S(E8:AC8)</f>
        <v>8.1941035710645824</v>
      </c>
    </row>
    <row r="9" spans="1:33" x14ac:dyDescent="0.25">
      <c r="A9" s="1" t="s">
        <v>0</v>
      </c>
      <c r="B9" s="1" t="s">
        <v>37</v>
      </c>
      <c r="C9" s="1" t="s">
        <v>2</v>
      </c>
      <c r="D9" s="1" t="s">
        <v>3</v>
      </c>
      <c r="E9" s="12">
        <v>344</v>
      </c>
      <c r="F9" s="12">
        <v>332</v>
      </c>
      <c r="G9" s="12">
        <v>407</v>
      </c>
      <c r="H9" s="12">
        <v>346</v>
      </c>
      <c r="I9" s="12">
        <v>348</v>
      </c>
      <c r="J9" s="12">
        <v>347</v>
      </c>
      <c r="K9" s="12">
        <v>356</v>
      </c>
      <c r="L9" s="12">
        <v>346</v>
      </c>
      <c r="M9" s="12">
        <v>335</v>
      </c>
      <c r="N9" s="12">
        <v>342</v>
      </c>
      <c r="O9" s="12">
        <v>351</v>
      </c>
      <c r="P9" s="12">
        <v>365</v>
      </c>
      <c r="Q9" s="12">
        <v>349</v>
      </c>
      <c r="R9" s="12">
        <v>365</v>
      </c>
      <c r="S9" s="12">
        <v>358</v>
      </c>
      <c r="T9" s="12">
        <v>349</v>
      </c>
      <c r="U9" s="12">
        <v>365</v>
      </c>
      <c r="V9" s="12">
        <v>353</v>
      </c>
      <c r="W9" s="12">
        <v>345</v>
      </c>
      <c r="X9" s="12">
        <v>337</v>
      </c>
      <c r="Y9" s="12">
        <v>336</v>
      </c>
      <c r="Z9" s="12">
        <v>358</v>
      </c>
      <c r="AA9" s="12">
        <v>359</v>
      </c>
      <c r="AB9" s="12">
        <v>359</v>
      </c>
      <c r="AC9" s="12">
        <v>356</v>
      </c>
      <c r="AD9" s="13">
        <f>AVERAGE(E9:AC9)</f>
        <v>352.32</v>
      </c>
      <c r="AE9" s="11">
        <f>MEDIAN(E9:AC9)</f>
        <v>349</v>
      </c>
      <c r="AF9" s="5">
        <f>_xlfn.STDEV.S(E9:AC9)</f>
        <v>14.786593026567459</v>
      </c>
    </row>
    <row r="10" spans="1:33" x14ac:dyDescent="0.25">
      <c r="A10" s="1" t="s">
        <v>0</v>
      </c>
      <c r="B10" s="1" t="s">
        <v>36</v>
      </c>
      <c r="C10" s="1" t="s">
        <v>1</v>
      </c>
      <c r="D10" s="1" t="s">
        <v>3</v>
      </c>
      <c r="E10" s="2">
        <v>616</v>
      </c>
      <c r="F10" s="2">
        <v>591</v>
      </c>
      <c r="G10" s="2">
        <v>618</v>
      </c>
      <c r="H10" s="2">
        <v>601</v>
      </c>
      <c r="I10" s="2">
        <v>575</v>
      </c>
      <c r="J10" s="2">
        <v>580</v>
      </c>
      <c r="K10" s="2">
        <v>563</v>
      </c>
      <c r="L10" s="2">
        <v>571</v>
      </c>
      <c r="M10" s="2">
        <v>574</v>
      </c>
      <c r="N10" s="2">
        <v>574</v>
      </c>
      <c r="O10" s="2">
        <v>592</v>
      </c>
      <c r="P10" s="2">
        <v>573</v>
      </c>
      <c r="Q10" s="2">
        <v>578</v>
      </c>
      <c r="R10" s="2">
        <v>568</v>
      </c>
      <c r="S10" s="2">
        <v>587</v>
      </c>
      <c r="T10" s="2">
        <v>574</v>
      </c>
      <c r="U10" s="2">
        <v>562</v>
      </c>
      <c r="V10" s="2">
        <v>564</v>
      </c>
      <c r="W10" s="2">
        <v>561</v>
      </c>
      <c r="X10" s="2">
        <v>567</v>
      </c>
      <c r="Y10" s="2">
        <v>581</v>
      </c>
      <c r="Z10" s="2">
        <v>582</v>
      </c>
      <c r="AA10" s="2">
        <v>582</v>
      </c>
      <c r="AB10" s="2">
        <v>581</v>
      </c>
      <c r="AC10" s="2">
        <v>570</v>
      </c>
      <c r="AD10" s="13">
        <f>AVERAGE(E10:AC10)</f>
        <v>579.4</v>
      </c>
      <c r="AE10" s="11">
        <f>MEDIAN(E10:AC10)</f>
        <v>575</v>
      </c>
      <c r="AF10" s="5">
        <f>_xlfn.STDEV.S(E10:AC10)</f>
        <v>15.008331019803636</v>
      </c>
    </row>
    <row r="11" spans="1:33" x14ac:dyDescent="0.25">
      <c r="A11" s="1" t="s">
        <v>0</v>
      </c>
      <c r="B11" s="1" t="s">
        <v>36</v>
      </c>
      <c r="C11" s="1" t="s">
        <v>2</v>
      </c>
      <c r="D11" s="1" t="s">
        <v>3</v>
      </c>
      <c r="E11" s="2">
        <v>661</v>
      </c>
      <c r="F11" s="2">
        <v>639</v>
      </c>
      <c r="G11" s="2">
        <v>699</v>
      </c>
      <c r="H11" s="2">
        <v>678</v>
      </c>
      <c r="I11" s="2">
        <v>634</v>
      </c>
      <c r="J11" s="2">
        <v>638</v>
      </c>
      <c r="K11" s="2">
        <v>667</v>
      </c>
      <c r="L11" s="2">
        <v>654</v>
      </c>
      <c r="M11" s="2">
        <v>645</v>
      </c>
      <c r="N11" s="2">
        <v>656</v>
      </c>
      <c r="O11" s="2">
        <v>649</v>
      </c>
      <c r="P11" s="2">
        <v>654</v>
      </c>
      <c r="Q11" s="2">
        <v>639</v>
      </c>
      <c r="R11" s="2">
        <v>641</v>
      </c>
      <c r="S11" s="2">
        <v>652</v>
      </c>
      <c r="T11" s="2">
        <v>636</v>
      </c>
      <c r="U11" s="2">
        <v>632</v>
      </c>
      <c r="V11" s="2">
        <v>642</v>
      </c>
      <c r="W11" s="2">
        <v>663</v>
      </c>
      <c r="X11" s="2">
        <v>651</v>
      </c>
      <c r="Y11" s="2">
        <v>633</v>
      </c>
      <c r="Z11" s="2">
        <v>629</v>
      </c>
      <c r="AA11" s="2">
        <v>626</v>
      </c>
      <c r="AB11">
        <v>630</v>
      </c>
      <c r="AC11">
        <v>643</v>
      </c>
      <c r="AD11" s="13">
        <f>AVERAGE(E11:AC11)</f>
        <v>647.64</v>
      </c>
      <c r="AE11" s="11">
        <f>MEDIAN(E11:AC11)</f>
        <v>643</v>
      </c>
      <c r="AF11" s="5">
        <f>_xlfn.STDEV.S(E11:AC11)</f>
        <v>16.814874367654372</v>
      </c>
    </row>
    <row r="12" spans="1:33" x14ac:dyDescent="0.25">
      <c r="A12" s="1" t="s">
        <v>0</v>
      </c>
      <c r="B12" s="1" t="s">
        <v>38</v>
      </c>
      <c r="C12" s="1" t="s">
        <v>1</v>
      </c>
      <c r="D12" s="1" t="s">
        <v>3</v>
      </c>
      <c r="E12" s="2">
        <v>515</v>
      </c>
      <c r="F12" s="2">
        <v>510</v>
      </c>
      <c r="G12" s="2">
        <v>496</v>
      </c>
      <c r="H12" s="2">
        <v>494</v>
      </c>
      <c r="I12" s="2">
        <v>503</v>
      </c>
      <c r="J12" s="2">
        <v>512</v>
      </c>
      <c r="K12" s="2">
        <v>501</v>
      </c>
      <c r="L12" s="2">
        <v>484</v>
      </c>
      <c r="M12" s="2">
        <v>512</v>
      </c>
      <c r="N12" s="2">
        <v>485</v>
      </c>
      <c r="O12" s="2">
        <v>516</v>
      </c>
      <c r="P12" s="2">
        <v>497</v>
      </c>
      <c r="Q12" s="2">
        <v>496</v>
      </c>
      <c r="R12" s="2">
        <v>499</v>
      </c>
      <c r="S12" s="2">
        <v>493</v>
      </c>
      <c r="T12" s="2">
        <v>511</v>
      </c>
      <c r="U12" s="2">
        <v>509</v>
      </c>
      <c r="V12" s="2">
        <v>497</v>
      </c>
      <c r="W12" s="2">
        <v>495</v>
      </c>
      <c r="X12" s="2">
        <v>486</v>
      </c>
      <c r="Y12" s="2">
        <v>496</v>
      </c>
      <c r="Z12" s="2">
        <v>502</v>
      </c>
      <c r="AA12" s="2">
        <v>498</v>
      </c>
      <c r="AB12" s="2">
        <v>509</v>
      </c>
      <c r="AC12" s="2">
        <v>501</v>
      </c>
      <c r="AD12" s="13">
        <f>AVERAGE(E12:AC12)</f>
        <v>500.68</v>
      </c>
      <c r="AE12" s="11">
        <f t="shared" ref="AE12:AE13" si="12">MEDIAN(E12:AC12)</f>
        <v>499</v>
      </c>
      <c r="AF12" s="5">
        <f t="shared" ref="AF12" si="13">_xlfn.STDEV.S(E12:AC12)</f>
        <v>9.1593303976509848</v>
      </c>
    </row>
    <row r="13" spans="1:33" x14ac:dyDescent="0.25">
      <c r="A13" s="1" t="s">
        <v>0</v>
      </c>
      <c r="B13" s="1" t="s">
        <v>38</v>
      </c>
      <c r="C13" s="1" t="s">
        <v>2</v>
      </c>
      <c r="D13" s="1" t="s">
        <v>3</v>
      </c>
      <c r="E13" s="2">
        <v>597</v>
      </c>
      <c r="F13" s="2">
        <v>600</v>
      </c>
      <c r="G13" s="2">
        <v>628</v>
      </c>
      <c r="H13" s="2">
        <v>626</v>
      </c>
      <c r="I13" s="2">
        <v>583</v>
      </c>
      <c r="J13" s="2">
        <v>596</v>
      </c>
      <c r="K13" s="2">
        <v>605</v>
      </c>
      <c r="L13" s="2">
        <v>603</v>
      </c>
      <c r="M13" s="2">
        <v>587</v>
      </c>
      <c r="N13" s="2">
        <v>586</v>
      </c>
      <c r="O13" s="2">
        <v>586</v>
      </c>
      <c r="P13" s="2">
        <v>575</v>
      </c>
      <c r="Q13" s="2">
        <v>583</v>
      </c>
      <c r="R13" s="2">
        <v>603</v>
      </c>
      <c r="S13" s="2">
        <v>603</v>
      </c>
      <c r="T13" s="2">
        <v>602</v>
      </c>
      <c r="U13" s="2">
        <v>598</v>
      </c>
      <c r="V13" s="2">
        <v>610</v>
      </c>
      <c r="W13" s="2">
        <v>609</v>
      </c>
      <c r="X13" s="2">
        <v>593</v>
      </c>
      <c r="Y13" s="2">
        <v>591</v>
      </c>
      <c r="Z13" s="2">
        <v>590</v>
      </c>
      <c r="AA13" s="2">
        <v>606</v>
      </c>
      <c r="AB13" s="2">
        <v>597</v>
      </c>
      <c r="AC13" s="2">
        <v>605</v>
      </c>
      <c r="AD13" s="13">
        <f t="shared" ref="AD13" si="14">AVERAGE(E13:AC13)</f>
        <v>598.48</v>
      </c>
      <c r="AE13" s="11">
        <f t="shared" si="12"/>
        <v>598</v>
      </c>
      <c r="AF13" s="5">
        <f>_xlfn.STDEV.S(E13:AC13)</f>
        <v>12.470364870363653</v>
      </c>
    </row>
    <row r="14" spans="1:33" x14ac:dyDescent="0.25">
      <c r="A14" s="1"/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3"/>
      <c r="AF14" s="5"/>
    </row>
    <row r="15" spans="1:33" x14ac:dyDescent="0.25">
      <c r="A15" s="1"/>
      <c r="B15" s="1"/>
      <c r="C15" s="1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3"/>
      <c r="AF15" s="5"/>
    </row>
    <row r="16" spans="1:33" x14ac:dyDescent="0.25">
      <c r="A16" s="1"/>
      <c r="B16" s="2"/>
      <c r="C16" s="2"/>
      <c r="D16" s="2"/>
      <c r="E16" s="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x14ac:dyDescent="0.25">
      <c r="F48" s="4"/>
      <c r="H48" s="2"/>
    </row>
    <row r="49" spans="6:8" x14ac:dyDescent="0.25">
      <c r="F49" s="4"/>
      <c r="H49" s="2"/>
    </row>
    <row r="50" spans="6:8" x14ac:dyDescent="0.25">
      <c r="F50" s="4"/>
      <c r="H50" s="2"/>
    </row>
    <row r="51" spans="6:8" x14ac:dyDescent="0.25">
      <c r="F51" s="4"/>
      <c r="H51" s="2"/>
    </row>
    <row r="52" spans="6:8" x14ac:dyDescent="0.25">
      <c r="H52" s="3"/>
    </row>
  </sheetData>
  <phoneticPr fontId="3" type="noConversion"/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Rittberger Florian - s2310307083</dc:creator>
  <cp:lastModifiedBy>Rittberger Florian - s2310307083</cp:lastModifiedBy>
  <dcterms:created xsi:type="dcterms:W3CDTF">2025-12-12T17:45:43Z</dcterms:created>
  <dcterms:modified xsi:type="dcterms:W3CDTF">2026-01-22T21:40:11Z</dcterms:modified>
</cp:coreProperties>
</file>