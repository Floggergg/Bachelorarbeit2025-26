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ooe-my.sharepoint.com/personal/s2310307083_fhooe_at/Documents/Hagenberg/Bachelorarbeit2025-26/WebsiteVorschau/Visulisation/"/>
    </mc:Choice>
  </mc:AlternateContent>
  <xr:revisionPtr revIDLastSave="299" documentId="8_{D010FF73-5F9C-4556-962E-81E5C6D0207B}" xr6:coauthVersionLast="47" xr6:coauthVersionMax="47" xr10:uidLastSave="{4BF2DD25-BA2C-4696-9192-B94F3FEBA049}"/>
  <bookViews>
    <workbookView xWindow="38280" yWindow="3615" windowWidth="29040" windowHeight="15720" xr2:uid="{587AFEF8-2E2A-4687-9884-DC36B90FBF7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2" i="1" l="1"/>
  <c r="AD11" i="1"/>
  <c r="AD9" i="1"/>
  <c r="AF4" i="1"/>
  <c r="AE4" i="1"/>
  <c r="AD4" i="1"/>
  <c r="AD22" i="1"/>
  <c r="AF13" i="1"/>
  <c r="AF22" i="1"/>
  <c r="AF23" i="1"/>
  <c r="AF20" i="1"/>
  <c r="AF21" i="1"/>
  <c r="AF24" i="1"/>
  <c r="AF25" i="1"/>
  <c r="AE22" i="1"/>
  <c r="AE23" i="1"/>
  <c r="AE20" i="1"/>
  <c r="AE21" i="1"/>
  <c r="AE24" i="1"/>
  <c r="AE25" i="1"/>
  <c r="AD23" i="1"/>
  <c r="AD20" i="1"/>
  <c r="AD21" i="1"/>
  <c r="AD24" i="1"/>
  <c r="AD25" i="1"/>
  <c r="AE11" i="1"/>
  <c r="AE8" i="1"/>
  <c r="AE9" i="1"/>
  <c r="AE12" i="1"/>
  <c r="AE13" i="1"/>
  <c r="AF11" i="1"/>
  <c r="AF8" i="1"/>
  <c r="AF9" i="1"/>
  <c r="AF12" i="1"/>
  <c r="AF10" i="1"/>
  <c r="AE10" i="1"/>
  <c r="AD8" i="1"/>
  <c r="AD13" i="1"/>
  <c r="AD10" i="1"/>
</calcChain>
</file>

<file path=xl/sharedStrings.xml><?xml version="1.0" encoding="utf-8"?>
<sst xmlns="http://schemas.openxmlformats.org/spreadsheetml/2006/main" count="128" uniqueCount="41">
  <si>
    <t>Chrome</t>
  </si>
  <si>
    <t>JS</t>
  </si>
  <si>
    <t>WASM</t>
  </si>
  <si>
    <t>1,5M</t>
  </si>
  <si>
    <t>0,5M</t>
  </si>
  <si>
    <t>Browser</t>
  </si>
  <si>
    <t>Strategie</t>
  </si>
  <si>
    <t>Sprache</t>
  </si>
  <si>
    <t>Firefox</t>
  </si>
  <si>
    <t>Datenpunkte</t>
  </si>
  <si>
    <t>Mittelwert</t>
  </si>
  <si>
    <t>Median</t>
  </si>
  <si>
    <t>Zeit 1</t>
  </si>
  <si>
    <t>Zeit 2</t>
  </si>
  <si>
    <t>Zeit 3</t>
  </si>
  <si>
    <t>Zeit 4</t>
  </si>
  <si>
    <t>Zeit 5</t>
  </si>
  <si>
    <t>Zeit 6</t>
  </si>
  <si>
    <t>Zeit 7</t>
  </si>
  <si>
    <t>Zeit 8</t>
  </si>
  <si>
    <t>Zeit 9</t>
  </si>
  <si>
    <t>Zeit 10</t>
  </si>
  <si>
    <t>Zeit 11</t>
  </si>
  <si>
    <t>Zeit 12</t>
  </si>
  <si>
    <t>Zeit 13</t>
  </si>
  <si>
    <t>Zeit 14</t>
  </si>
  <si>
    <t>Zeit 15</t>
  </si>
  <si>
    <t>Zeit 16</t>
  </si>
  <si>
    <t>Zeit 17</t>
  </si>
  <si>
    <t>Zeit 18</t>
  </si>
  <si>
    <t>Zeit 19</t>
  </si>
  <si>
    <t>Zeit 20</t>
  </si>
  <si>
    <t>Zeit 21</t>
  </si>
  <si>
    <t>Zeit 22</t>
  </si>
  <si>
    <t>Zeit 23</t>
  </si>
  <si>
    <t>Zeit 24</t>
  </si>
  <si>
    <t>Zeit 25</t>
  </si>
  <si>
    <t>Ausbruch</t>
  </si>
  <si>
    <t>Durchschnittsüberschneidung</t>
  </si>
  <si>
    <t>Mittelwertrückkehr</t>
  </si>
  <si>
    <t>Standartabweichung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</si>
</sst>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pto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E1B5-D66C-405C-A2B2-B9C05807B709}">
  <dimension ref="A1:AF52"/>
  <sheetViews>
    <sheetView tabSelected="1" zoomScale="85" zoomScaleNormal="85" workbookViewId="0">
      <selection activeCell="AD8" sqref="AD8"/>
    </sheetView>
  </sheetViews>
  <sheetFormatPr baseColWidth="10" defaultRowHeight="15" x14ac:dyDescent="0.25"/>
  <cols>
    <col min="2" max="2" width="28" bestFit="1" customWidth="1"/>
    <col min="3" max="3" width="14.85546875" bestFit="1" customWidth="1"/>
    <col min="4" max="4" width="15" customWidth="1"/>
    <col min="5" max="5" width="10.5703125" customWidth="1"/>
    <col min="6" max="6" width="5.85546875" bestFit="1" customWidth="1"/>
    <col min="7" max="7" width="5.5703125" bestFit="1" customWidth="1"/>
    <col min="8" max="8" width="5.85546875" bestFit="1" customWidth="1"/>
    <col min="9" max="9" width="5.5703125" bestFit="1" customWidth="1"/>
    <col min="10" max="10" width="5.85546875" bestFit="1" customWidth="1"/>
    <col min="11" max="11" width="5.5703125" bestFit="1" customWidth="1"/>
    <col min="12" max="12" width="5.85546875" bestFit="1" customWidth="1"/>
    <col min="13" max="13" width="5.5703125" bestFit="1" customWidth="1"/>
    <col min="14" max="14" width="6.85546875" bestFit="1" customWidth="1"/>
    <col min="15" max="15" width="7.85546875" customWidth="1"/>
    <col min="16" max="16" width="8.5703125" customWidth="1"/>
    <col min="17" max="17" width="7.42578125" customWidth="1"/>
    <col min="18" max="18" width="8.42578125" customWidth="1"/>
    <col min="19" max="19" width="8.7109375" customWidth="1"/>
    <col min="20" max="20" width="9" customWidth="1"/>
    <col min="21" max="21" width="8.28515625" customWidth="1"/>
    <col min="22" max="22" width="8.42578125" customWidth="1"/>
    <col min="23" max="23" width="7.7109375" customWidth="1"/>
    <col min="24" max="24" width="7.85546875" customWidth="1"/>
    <col min="25" max="25" width="8.7109375" customWidth="1"/>
    <col min="26" max="27" width="8.28515625" customWidth="1"/>
    <col min="28" max="28" width="7.85546875" customWidth="1"/>
    <col min="29" max="30" width="10" customWidth="1"/>
    <col min="32" max="32" width="19.28515625" bestFit="1" customWidth="1"/>
  </cols>
  <sheetData>
    <row r="1" spans="1:32" x14ac:dyDescent="0.25">
      <c r="A1" s="7" t="s">
        <v>5</v>
      </c>
      <c r="B1" s="6" t="s">
        <v>6</v>
      </c>
      <c r="C1" s="6" t="s">
        <v>7</v>
      </c>
      <c r="D1" s="6" t="s">
        <v>9</v>
      </c>
      <c r="E1" s="6" t="s">
        <v>12</v>
      </c>
      <c r="F1" t="s">
        <v>13</v>
      </c>
      <c r="G1" s="6" t="s">
        <v>14</v>
      </c>
      <c r="H1" t="s">
        <v>15</v>
      </c>
      <c r="I1" s="6" t="s">
        <v>16</v>
      </c>
      <c r="J1" t="s">
        <v>17</v>
      </c>
      <c r="K1" s="6" t="s">
        <v>18</v>
      </c>
      <c r="L1" t="s">
        <v>19</v>
      </c>
      <c r="M1" s="6" t="s">
        <v>20</v>
      </c>
      <c r="N1" t="s">
        <v>21</v>
      </c>
      <c r="O1" s="6" t="s">
        <v>22</v>
      </c>
      <c r="P1" t="s">
        <v>23</v>
      </c>
      <c r="Q1" s="6" t="s">
        <v>24</v>
      </c>
      <c r="R1" t="s">
        <v>25</v>
      </c>
      <c r="S1" s="6" t="s">
        <v>26</v>
      </c>
      <c r="T1" t="s">
        <v>27</v>
      </c>
      <c r="U1" s="6" t="s">
        <v>28</v>
      </c>
      <c r="V1" t="s">
        <v>29</v>
      </c>
      <c r="W1" s="6" t="s">
        <v>30</v>
      </c>
      <c r="X1" t="s">
        <v>31</v>
      </c>
      <c r="Y1" s="6" t="s">
        <v>32</v>
      </c>
      <c r="Z1" t="s">
        <v>33</v>
      </c>
      <c r="AA1" s="6" t="s">
        <v>34</v>
      </c>
      <c r="AB1" t="s">
        <v>35</v>
      </c>
      <c r="AC1" s="6" t="s">
        <v>36</v>
      </c>
      <c r="AD1" t="s">
        <v>10</v>
      </c>
      <c r="AE1" t="s">
        <v>11</v>
      </c>
      <c r="AF1" t="s">
        <v>40</v>
      </c>
    </row>
    <row r="2" spans="1:32" x14ac:dyDescent="0.25">
      <c r="A2" s="1" t="s">
        <v>8</v>
      </c>
      <c r="B2" s="1" t="s">
        <v>38</v>
      </c>
      <c r="C2" s="1" t="s">
        <v>1</v>
      </c>
      <c r="D2" s="1" t="s">
        <v>3</v>
      </c>
      <c r="E2" s="2">
        <v>3581</v>
      </c>
      <c r="F2" s="2">
        <v>3569</v>
      </c>
      <c r="G2" s="2">
        <v>3579</v>
      </c>
      <c r="H2" s="2">
        <v>3575</v>
      </c>
      <c r="I2" s="2">
        <v>3570</v>
      </c>
      <c r="J2" s="2">
        <v>3580</v>
      </c>
      <c r="K2" s="2">
        <v>3576</v>
      </c>
      <c r="L2" s="2">
        <v>3556</v>
      </c>
      <c r="M2" s="2">
        <v>3550</v>
      </c>
      <c r="N2" s="2">
        <v>3556</v>
      </c>
      <c r="O2" s="2">
        <v>3562</v>
      </c>
      <c r="P2" s="2">
        <v>3539</v>
      </c>
      <c r="Q2" s="2">
        <v>3534</v>
      </c>
      <c r="R2" s="2">
        <v>3579</v>
      </c>
      <c r="S2" s="2">
        <v>3569</v>
      </c>
      <c r="T2" s="2">
        <v>3570</v>
      </c>
      <c r="U2" s="2">
        <v>3567</v>
      </c>
      <c r="V2" s="2">
        <v>3566</v>
      </c>
      <c r="W2" s="2">
        <v>3568</v>
      </c>
      <c r="X2" s="2">
        <v>3597</v>
      </c>
      <c r="Y2" s="2">
        <v>3554</v>
      </c>
      <c r="Z2" s="2">
        <v>3566</v>
      </c>
      <c r="AA2" s="2">
        <v>3576</v>
      </c>
      <c r="AB2" s="2">
        <v>3540</v>
      </c>
      <c r="AC2" s="3">
        <v>3543</v>
      </c>
      <c r="AD2">
        <v>3564.88</v>
      </c>
      <c r="AE2">
        <v>3568</v>
      </c>
      <c r="AF2" s="5">
        <v>15.273397351822767</v>
      </c>
    </row>
    <row r="3" spans="1:32" x14ac:dyDescent="0.25">
      <c r="A3" s="1" t="s">
        <v>8</v>
      </c>
      <c r="B3" s="1" t="s">
        <v>38</v>
      </c>
      <c r="C3" s="1" t="s">
        <v>2</v>
      </c>
      <c r="D3" s="1" t="s">
        <v>3</v>
      </c>
      <c r="E3" s="2">
        <v>3647</v>
      </c>
      <c r="F3" s="2">
        <v>3609</v>
      </c>
      <c r="G3" s="2">
        <v>3614</v>
      </c>
      <c r="H3" s="2">
        <v>3632</v>
      </c>
      <c r="I3" s="2">
        <v>3600</v>
      </c>
      <c r="J3" s="2">
        <v>3674</v>
      </c>
      <c r="K3" s="2">
        <v>3784</v>
      </c>
      <c r="L3" s="2">
        <v>3714</v>
      </c>
      <c r="M3" s="2">
        <v>3661</v>
      </c>
      <c r="N3" s="2">
        <v>3661</v>
      </c>
      <c r="O3" s="2">
        <v>3685</v>
      </c>
      <c r="P3" s="2">
        <v>3665</v>
      </c>
      <c r="Q3" s="2">
        <v>3683</v>
      </c>
      <c r="R3" s="2">
        <v>3634</v>
      </c>
      <c r="S3" s="2">
        <v>3688</v>
      </c>
      <c r="T3" s="2">
        <v>3649</v>
      </c>
      <c r="U3" s="2">
        <v>3672</v>
      </c>
      <c r="V3" s="2">
        <v>3640</v>
      </c>
      <c r="W3" s="2">
        <v>3704</v>
      </c>
      <c r="X3" s="2">
        <v>3650</v>
      </c>
      <c r="Y3" s="2">
        <v>3666</v>
      </c>
      <c r="Z3" s="2">
        <v>3667</v>
      </c>
      <c r="AA3" s="2">
        <v>3650</v>
      </c>
      <c r="AB3" s="2">
        <v>3663</v>
      </c>
      <c r="AC3" s="3">
        <v>3626</v>
      </c>
      <c r="AD3">
        <v>3661.52</v>
      </c>
      <c r="AE3">
        <v>3661</v>
      </c>
      <c r="AF3" s="5">
        <v>37.855118544260293</v>
      </c>
    </row>
    <row r="4" spans="1:32" x14ac:dyDescent="0.25">
      <c r="A4" s="1" t="s">
        <v>8</v>
      </c>
      <c r="B4" s="1" t="s">
        <v>37</v>
      </c>
      <c r="C4" s="1" t="s">
        <v>1</v>
      </c>
      <c r="D4" s="1" t="s">
        <v>3</v>
      </c>
      <c r="E4" s="4">
        <v>3803</v>
      </c>
      <c r="F4">
        <v>3748</v>
      </c>
      <c r="G4">
        <v>3852</v>
      </c>
      <c r="H4">
        <v>3798</v>
      </c>
      <c r="I4">
        <v>3837</v>
      </c>
      <c r="J4">
        <v>3849</v>
      </c>
      <c r="K4">
        <v>3858</v>
      </c>
      <c r="L4">
        <v>3888</v>
      </c>
      <c r="M4">
        <v>3860</v>
      </c>
      <c r="N4">
        <v>3910</v>
      </c>
      <c r="O4">
        <v>3923</v>
      </c>
      <c r="P4">
        <v>3882</v>
      </c>
      <c r="Q4">
        <v>3869</v>
      </c>
      <c r="R4">
        <v>3880</v>
      </c>
      <c r="S4">
        <v>3882</v>
      </c>
      <c r="T4">
        <v>3851</v>
      </c>
      <c r="U4">
        <v>3860</v>
      </c>
      <c r="V4">
        <v>3868</v>
      </c>
      <c r="W4">
        <v>3858</v>
      </c>
      <c r="X4">
        <v>3881</v>
      </c>
      <c r="Y4">
        <v>3823</v>
      </c>
      <c r="Z4">
        <v>3846</v>
      </c>
      <c r="AA4">
        <v>3793</v>
      </c>
      <c r="AB4">
        <v>3824</v>
      </c>
      <c r="AC4">
        <v>3855</v>
      </c>
      <c r="AD4">
        <f>AVERAGE(E4:AC4)</f>
        <v>3851.92</v>
      </c>
      <c r="AE4">
        <f>MEDIAN(E4:AC4)</f>
        <v>3858</v>
      </c>
      <c r="AF4">
        <f>_xlfn.STDEV.S(E4:AC4)</f>
        <v>38.400217013275672</v>
      </c>
    </row>
    <row r="5" spans="1:32" x14ac:dyDescent="0.25">
      <c r="A5" s="1" t="s">
        <v>8</v>
      </c>
      <c r="B5" s="1" t="s">
        <v>37</v>
      </c>
      <c r="C5" s="1" t="s">
        <v>2</v>
      </c>
      <c r="D5" s="1" t="s">
        <v>3</v>
      </c>
      <c r="E5" s="2">
        <v>3874</v>
      </c>
      <c r="F5" s="2">
        <v>3819</v>
      </c>
      <c r="G5" s="2">
        <v>3859</v>
      </c>
      <c r="H5" s="2">
        <v>3829</v>
      </c>
      <c r="I5" s="2">
        <v>3849</v>
      </c>
      <c r="J5" s="2">
        <v>3912</v>
      </c>
      <c r="K5" s="2">
        <v>3875</v>
      </c>
      <c r="L5" s="2">
        <v>3915</v>
      </c>
      <c r="M5" s="2">
        <v>3885</v>
      </c>
      <c r="N5" s="2">
        <v>3921</v>
      </c>
      <c r="O5" s="2">
        <v>3874</v>
      </c>
      <c r="P5" s="2">
        <v>3920</v>
      </c>
      <c r="Q5" s="2">
        <v>3883</v>
      </c>
      <c r="R5" s="2">
        <v>3918</v>
      </c>
      <c r="S5" s="2">
        <v>3864</v>
      </c>
      <c r="T5" s="2">
        <v>3931</v>
      </c>
      <c r="U5" s="2">
        <v>3904</v>
      </c>
      <c r="V5" s="2">
        <v>3934</v>
      </c>
      <c r="W5" s="2">
        <v>3884</v>
      </c>
      <c r="X5" s="2">
        <v>3955</v>
      </c>
      <c r="Y5" s="2">
        <v>3904</v>
      </c>
      <c r="Z5" s="2">
        <v>3904</v>
      </c>
      <c r="AA5" s="2">
        <v>3894</v>
      </c>
      <c r="AB5" s="2">
        <v>3925</v>
      </c>
      <c r="AC5" s="3">
        <v>3880</v>
      </c>
      <c r="AD5">
        <v>3892.48</v>
      </c>
      <c r="AE5">
        <v>3894</v>
      </c>
      <c r="AF5">
        <v>33.102265783477719</v>
      </c>
    </row>
    <row r="6" spans="1:32" x14ac:dyDescent="0.25">
      <c r="A6" s="1" t="s">
        <v>8</v>
      </c>
      <c r="B6" s="1" t="s">
        <v>39</v>
      </c>
      <c r="C6" s="1" t="s">
        <v>1</v>
      </c>
      <c r="D6" s="1" t="s">
        <v>3</v>
      </c>
      <c r="E6" s="3">
        <v>4856</v>
      </c>
      <c r="F6" s="2">
        <v>4779</v>
      </c>
      <c r="G6" s="2">
        <v>4895</v>
      </c>
      <c r="H6" s="2">
        <v>4898</v>
      </c>
      <c r="I6" s="2">
        <v>4894</v>
      </c>
      <c r="J6" s="2">
        <v>4867</v>
      </c>
      <c r="K6" s="2">
        <v>4910</v>
      </c>
      <c r="L6" s="2">
        <v>4900</v>
      </c>
      <c r="M6" s="2">
        <v>4893</v>
      </c>
      <c r="N6" s="2">
        <v>4844</v>
      </c>
      <c r="O6" s="2">
        <v>4803</v>
      </c>
      <c r="P6" s="2">
        <v>4798</v>
      </c>
      <c r="Q6" s="2">
        <v>4842</v>
      </c>
      <c r="R6" s="2">
        <v>4877</v>
      </c>
      <c r="S6" s="2">
        <v>4803</v>
      </c>
      <c r="T6" s="2">
        <v>4850</v>
      </c>
      <c r="U6" s="2">
        <v>4814</v>
      </c>
      <c r="V6" s="2">
        <v>4801</v>
      </c>
      <c r="W6" s="2">
        <v>4907</v>
      </c>
      <c r="X6" s="2">
        <v>4909</v>
      </c>
      <c r="Y6" s="2">
        <v>4871</v>
      </c>
      <c r="Z6" s="2">
        <v>4925</v>
      </c>
      <c r="AA6" s="2">
        <v>4942</v>
      </c>
      <c r="AB6" s="2">
        <v>4796</v>
      </c>
      <c r="AC6" s="3">
        <v>4826</v>
      </c>
      <c r="AD6">
        <v>4860</v>
      </c>
      <c r="AE6">
        <v>4867</v>
      </c>
      <c r="AF6" s="5">
        <v>47.205225699421597</v>
      </c>
    </row>
    <row r="7" spans="1:32" x14ac:dyDescent="0.25">
      <c r="A7" s="1" t="s">
        <v>8</v>
      </c>
      <c r="B7" s="1" t="s">
        <v>39</v>
      </c>
      <c r="C7" s="1" t="s">
        <v>2</v>
      </c>
      <c r="D7" s="1" t="s">
        <v>3</v>
      </c>
      <c r="E7" s="4">
        <v>3888</v>
      </c>
      <c r="F7" s="4">
        <v>3814</v>
      </c>
      <c r="G7" s="4">
        <v>3808</v>
      </c>
      <c r="H7" s="4">
        <v>3852</v>
      </c>
      <c r="I7" s="4">
        <v>3863</v>
      </c>
      <c r="J7" s="4">
        <v>3964</v>
      </c>
      <c r="K7" s="4">
        <v>3928</v>
      </c>
      <c r="L7" s="4">
        <v>3993</v>
      </c>
      <c r="M7" s="4">
        <v>4019</v>
      </c>
      <c r="N7" s="4">
        <v>4016</v>
      </c>
      <c r="O7" s="4">
        <v>4019</v>
      </c>
      <c r="P7" s="4">
        <v>4044</v>
      </c>
      <c r="Q7" s="4">
        <v>4005</v>
      </c>
      <c r="R7" s="4">
        <v>4020</v>
      </c>
      <c r="S7" s="4">
        <v>4032</v>
      </c>
      <c r="T7" s="4">
        <v>3992</v>
      </c>
      <c r="U7" s="4">
        <v>4006</v>
      </c>
      <c r="V7" s="4">
        <v>4005</v>
      </c>
      <c r="W7" s="4">
        <v>4030</v>
      </c>
      <c r="X7" s="4">
        <v>3967</v>
      </c>
      <c r="Y7" s="4">
        <v>3962</v>
      </c>
      <c r="Z7" s="4">
        <v>4047</v>
      </c>
      <c r="AA7" s="4">
        <v>4052</v>
      </c>
      <c r="AB7" s="4">
        <v>3957</v>
      </c>
      <c r="AC7" s="3">
        <v>3933</v>
      </c>
      <c r="AD7">
        <v>3968.64</v>
      </c>
      <c r="AE7">
        <v>3993</v>
      </c>
      <c r="AF7" s="5">
        <v>72.396984283417041</v>
      </c>
    </row>
    <row r="8" spans="1:32" x14ac:dyDescent="0.25">
      <c r="A8" s="1" t="s">
        <v>0</v>
      </c>
      <c r="B8" s="1" t="s">
        <v>38</v>
      </c>
      <c r="C8" s="1" t="s">
        <v>1</v>
      </c>
      <c r="D8" s="1" t="s">
        <v>3</v>
      </c>
      <c r="E8" s="2">
        <v>4452</v>
      </c>
      <c r="F8" s="2">
        <v>4353</v>
      </c>
      <c r="G8" s="2">
        <v>4302</v>
      </c>
      <c r="H8" s="2">
        <v>4336</v>
      </c>
      <c r="I8" s="2">
        <v>4307</v>
      </c>
      <c r="J8" s="2">
        <v>4266</v>
      </c>
      <c r="K8" s="2">
        <v>4241</v>
      </c>
      <c r="L8" s="2">
        <v>4273</v>
      </c>
      <c r="M8" s="2">
        <v>4275</v>
      </c>
      <c r="N8" s="2">
        <v>4229</v>
      </c>
      <c r="O8" s="2">
        <v>4162</v>
      </c>
      <c r="P8" s="2">
        <v>4161</v>
      </c>
      <c r="Q8" s="2">
        <v>4191</v>
      </c>
      <c r="R8" s="2">
        <v>4279</v>
      </c>
      <c r="S8" s="2">
        <v>4439</v>
      </c>
      <c r="T8" s="2">
        <v>4276</v>
      </c>
      <c r="U8" s="2">
        <v>4282</v>
      </c>
      <c r="V8" s="2">
        <v>4265</v>
      </c>
      <c r="W8" s="2">
        <v>4205</v>
      </c>
      <c r="X8" s="2">
        <v>4235</v>
      </c>
      <c r="Y8" s="2">
        <v>4219</v>
      </c>
      <c r="Z8" s="2">
        <v>4299</v>
      </c>
      <c r="AA8" s="2">
        <v>4296</v>
      </c>
      <c r="AB8" s="2">
        <v>4293</v>
      </c>
      <c r="AC8" s="3">
        <v>4289</v>
      </c>
      <c r="AD8">
        <f>AVERAGE(E8:AC8)</f>
        <v>4277</v>
      </c>
      <c r="AE8">
        <f>MEDIAN(E8:AC8)</f>
        <v>4276</v>
      </c>
      <c r="AF8" s="5">
        <f>_xlfn.STDEV.S(E8:AC8)</f>
        <v>69.880850977455424</v>
      </c>
    </row>
    <row r="9" spans="1:32" x14ac:dyDescent="0.25">
      <c r="A9" s="1" t="s">
        <v>0</v>
      </c>
      <c r="B9" s="1" t="s">
        <v>38</v>
      </c>
      <c r="C9" s="1" t="s">
        <v>2</v>
      </c>
      <c r="D9" s="1" t="s">
        <v>3</v>
      </c>
      <c r="E9" s="2">
        <v>4647</v>
      </c>
      <c r="F9" s="2">
        <v>4551</v>
      </c>
      <c r="G9" s="2">
        <v>4464</v>
      </c>
      <c r="H9" s="2">
        <v>4411</v>
      </c>
      <c r="I9" s="2">
        <v>4458</v>
      </c>
      <c r="J9" s="2">
        <v>4428</v>
      </c>
      <c r="K9" s="2">
        <v>4419</v>
      </c>
      <c r="L9" s="2">
        <v>4510</v>
      </c>
      <c r="M9" s="2">
        <v>4369</v>
      </c>
      <c r="N9" s="2">
        <v>4351</v>
      </c>
      <c r="O9" s="2">
        <v>4341</v>
      </c>
      <c r="P9" s="2">
        <v>4347</v>
      </c>
      <c r="Q9" s="2">
        <v>4339</v>
      </c>
      <c r="R9" s="2">
        <v>4340</v>
      </c>
      <c r="S9" s="2">
        <v>4345</v>
      </c>
      <c r="T9" s="2">
        <v>4345</v>
      </c>
      <c r="U9" s="2">
        <v>4394</v>
      </c>
      <c r="V9" s="2">
        <v>4463</v>
      </c>
      <c r="W9" s="2">
        <v>4411</v>
      </c>
      <c r="X9" s="2">
        <v>4406</v>
      </c>
      <c r="Y9" s="2">
        <v>4389</v>
      </c>
      <c r="Z9" s="2">
        <v>4394</v>
      </c>
      <c r="AA9" s="2">
        <v>4393</v>
      </c>
      <c r="AB9" s="2">
        <v>4384</v>
      </c>
      <c r="AC9" s="3">
        <v>4376</v>
      </c>
      <c r="AD9">
        <f>AVERAGE(E9:AC9)</f>
        <v>4411</v>
      </c>
      <c r="AE9">
        <f>MEDIAN(E9:AC9)</f>
        <v>4394</v>
      </c>
      <c r="AF9" s="5">
        <f>_xlfn.STDEV.S(E9:AC9)</f>
        <v>73.551002712403587</v>
      </c>
    </row>
    <row r="10" spans="1:32" x14ac:dyDescent="0.25">
      <c r="A10" s="1" t="s">
        <v>0</v>
      </c>
      <c r="B10" s="1" t="s">
        <v>37</v>
      </c>
      <c r="C10" s="1" t="s">
        <v>1</v>
      </c>
      <c r="D10" s="1" t="s">
        <v>3</v>
      </c>
      <c r="E10" s="2">
        <v>4535</v>
      </c>
      <c r="F10" s="2">
        <v>4450</v>
      </c>
      <c r="G10" s="2">
        <v>4469</v>
      </c>
      <c r="H10" s="2">
        <v>4477</v>
      </c>
      <c r="I10" s="2">
        <v>4459</v>
      </c>
      <c r="J10" s="2">
        <v>4465</v>
      </c>
      <c r="K10" s="2">
        <v>4462</v>
      </c>
      <c r="L10" s="2">
        <v>4448</v>
      </c>
      <c r="M10" s="2">
        <v>4446</v>
      </c>
      <c r="N10" s="2">
        <v>4449</v>
      </c>
      <c r="O10" s="2">
        <v>4458</v>
      </c>
      <c r="P10" s="2">
        <v>4459</v>
      </c>
      <c r="Q10" s="2">
        <v>4460</v>
      </c>
      <c r="R10" s="2">
        <v>4540</v>
      </c>
      <c r="S10" s="2">
        <v>4506</v>
      </c>
      <c r="T10" s="2">
        <v>4487</v>
      </c>
      <c r="U10" s="2">
        <v>4515</v>
      </c>
      <c r="V10" s="2">
        <v>4458</v>
      </c>
      <c r="W10" s="2">
        <v>4450</v>
      </c>
      <c r="X10" s="2">
        <v>4500</v>
      </c>
      <c r="Y10" s="2">
        <v>4545</v>
      </c>
      <c r="Z10" s="2">
        <v>4516</v>
      </c>
      <c r="AA10" s="2">
        <v>4505</v>
      </c>
      <c r="AB10" s="2">
        <v>4463</v>
      </c>
      <c r="AC10" s="3">
        <v>4471</v>
      </c>
      <c r="AD10">
        <f>AVERAGE(E10:AC10)</f>
        <v>4479.72</v>
      </c>
      <c r="AE10">
        <f>MEDIAN(E10:AC10)</f>
        <v>4465</v>
      </c>
      <c r="AF10" s="5">
        <f>_xlfn.STDEV.S(E10:AC10)</f>
        <v>31.19764948410911</v>
      </c>
    </row>
    <row r="11" spans="1:32" x14ac:dyDescent="0.25">
      <c r="A11" s="1" t="s">
        <v>0</v>
      </c>
      <c r="B11" s="1" t="s">
        <v>37</v>
      </c>
      <c r="C11" s="1" t="s">
        <v>2</v>
      </c>
      <c r="D11" s="1" t="s">
        <v>3</v>
      </c>
      <c r="E11" s="2">
        <v>4699</v>
      </c>
      <c r="F11" s="2">
        <v>4656</v>
      </c>
      <c r="G11" s="2">
        <v>4648</v>
      </c>
      <c r="H11" s="2">
        <v>4644</v>
      </c>
      <c r="I11" s="2">
        <v>4648</v>
      </c>
      <c r="J11" s="2">
        <v>4642</v>
      </c>
      <c r="K11" s="2">
        <v>4723</v>
      </c>
      <c r="L11" s="2">
        <v>4646</v>
      </c>
      <c r="M11" s="2">
        <v>4639</v>
      </c>
      <c r="N11" s="2">
        <v>4649</v>
      </c>
      <c r="O11" s="2">
        <v>4652</v>
      </c>
      <c r="P11" s="2">
        <v>4650</v>
      </c>
      <c r="Q11" s="2">
        <v>4655</v>
      </c>
      <c r="R11" s="2">
        <v>4688</v>
      </c>
      <c r="S11" s="2">
        <v>4649</v>
      </c>
      <c r="T11" s="2">
        <v>4662</v>
      </c>
      <c r="U11" s="2">
        <v>4646</v>
      </c>
      <c r="V11" s="2">
        <v>4664</v>
      </c>
      <c r="W11" s="2">
        <v>4656</v>
      </c>
      <c r="X11" s="2">
        <v>4657</v>
      </c>
      <c r="Y11" s="2">
        <v>4665</v>
      </c>
      <c r="Z11" s="2">
        <v>4658</v>
      </c>
      <c r="AA11" s="2">
        <v>4654</v>
      </c>
      <c r="AB11" s="2">
        <v>4656</v>
      </c>
      <c r="AC11" s="3">
        <v>4657</v>
      </c>
      <c r="AD11">
        <f>AVERAGE(E11:AC11)</f>
        <v>4658.5200000000004</v>
      </c>
      <c r="AE11">
        <f>MEDIAN(E11:AC11)</f>
        <v>4655</v>
      </c>
      <c r="AF11" s="5">
        <f>_xlfn.STDEV.S(E11:AC11)</f>
        <v>18.821795876058168</v>
      </c>
    </row>
    <row r="12" spans="1:32" x14ac:dyDescent="0.25">
      <c r="A12" s="1" t="s">
        <v>0</v>
      </c>
      <c r="B12" s="1" t="s">
        <v>39</v>
      </c>
      <c r="C12" s="1" t="s">
        <v>1</v>
      </c>
      <c r="D12" s="1" t="s">
        <v>3</v>
      </c>
      <c r="E12" s="2">
        <v>4800</v>
      </c>
      <c r="F12" s="2">
        <v>4704</v>
      </c>
      <c r="G12" s="2">
        <v>4692</v>
      </c>
      <c r="H12" s="2">
        <v>4703</v>
      </c>
      <c r="I12" s="2">
        <v>4650</v>
      </c>
      <c r="J12" s="2">
        <v>4680</v>
      </c>
      <c r="K12" s="2">
        <v>4683</v>
      </c>
      <c r="L12" s="2">
        <v>4665</v>
      </c>
      <c r="M12" s="2">
        <v>4651</v>
      </c>
      <c r="N12" s="2">
        <v>4683</v>
      </c>
      <c r="O12" s="2">
        <v>4714</v>
      </c>
      <c r="P12" s="2">
        <v>4636</v>
      </c>
      <c r="Q12" s="2">
        <v>4595</v>
      </c>
      <c r="R12" s="2">
        <v>4654</v>
      </c>
      <c r="S12" s="2">
        <v>4631</v>
      </c>
      <c r="T12" s="2">
        <v>4639</v>
      </c>
      <c r="U12" s="2">
        <v>4626</v>
      </c>
      <c r="V12" s="2">
        <v>4637</v>
      </c>
      <c r="W12" s="2">
        <v>4620</v>
      </c>
      <c r="X12" s="2">
        <v>4596</v>
      </c>
      <c r="Y12" s="2">
        <v>4628</v>
      </c>
      <c r="Z12" s="2">
        <v>4612</v>
      </c>
      <c r="AA12" s="2">
        <v>4638</v>
      </c>
      <c r="AB12" s="2">
        <v>4623</v>
      </c>
      <c r="AC12" s="3">
        <v>4703</v>
      </c>
      <c r="AD12">
        <f>AVERAGE(E12:AC12)</f>
        <v>4658.5200000000004</v>
      </c>
      <c r="AE12">
        <f t="shared" ref="AE12:AE13" si="0">MEDIAN(E12:AC12)</f>
        <v>4650</v>
      </c>
      <c r="AF12" s="5">
        <f t="shared" ref="AF12" si="1">_xlfn.STDEV.S(E12:AC12)</f>
        <v>45.398347987564492</v>
      </c>
    </row>
    <row r="13" spans="1:32" x14ac:dyDescent="0.25">
      <c r="A13" s="1" t="s">
        <v>0</v>
      </c>
      <c r="B13" s="1" t="s">
        <v>39</v>
      </c>
      <c r="C13" s="1" t="s">
        <v>2</v>
      </c>
      <c r="D13" s="1" t="s">
        <v>3</v>
      </c>
      <c r="E13" s="2">
        <v>4793</v>
      </c>
      <c r="F13" s="2">
        <v>4730</v>
      </c>
      <c r="G13" s="2">
        <v>4751</v>
      </c>
      <c r="H13" s="2">
        <v>4771</v>
      </c>
      <c r="I13" s="2">
        <v>4755</v>
      </c>
      <c r="J13" s="2">
        <v>4760</v>
      </c>
      <c r="K13" s="2">
        <v>4748</v>
      </c>
      <c r="L13" s="2">
        <v>4748</v>
      </c>
      <c r="M13" s="2">
        <v>4756</v>
      </c>
      <c r="N13" s="2">
        <v>4752</v>
      </c>
      <c r="O13" s="2">
        <v>4835</v>
      </c>
      <c r="P13" s="2">
        <v>4764</v>
      </c>
      <c r="Q13" s="2">
        <v>4805</v>
      </c>
      <c r="R13" s="2">
        <v>4748</v>
      </c>
      <c r="S13" s="2">
        <v>4755</v>
      </c>
      <c r="T13" s="2">
        <v>4776</v>
      </c>
      <c r="U13" s="2">
        <v>4806</v>
      </c>
      <c r="V13" s="2">
        <v>4777</v>
      </c>
      <c r="W13" s="2">
        <v>4773</v>
      </c>
      <c r="X13" s="2">
        <v>4765</v>
      </c>
      <c r="Y13" s="2">
        <v>4767</v>
      </c>
      <c r="Z13" s="2">
        <v>4772</v>
      </c>
      <c r="AA13" s="2">
        <v>4764</v>
      </c>
      <c r="AB13" s="2">
        <v>4781</v>
      </c>
      <c r="AC13" s="3">
        <v>4764</v>
      </c>
      <c r="AD13">
        <f t="shared" ref="AD13" si="2">AVERAGE(E13:AC13)</f>
        <v>4768.6400000000003</v>
      </c>
      <c r="AE13">
        <f t="shared" si="0"/>
        <v>4764</v>
      </c>
      <c r="AF13" s="5">
        <f>_xlfn.STDEV.S(E13:AC13)</f>
        <v>22.429296318282784</v>
      </c>
    </row>
    <row r="14" spans="1:32" x14ac:dyDescent="0.25">
      <c r="A14" s="1" t="s">
        <v>8</v>
      </c>
      <c r="B14" s="1" t="s">
        <v>38</v>
      </c>
      <c r="C14" s="1" t="s">
        <v>1</v>
      </c>
      <c r="D14" s="1" t="s">
        <v>4</v>
      </c>
      <c r="E14" s="2">
        <v>934</v>
      </c>
      <c r="F14" s="2">
        <v>910</v>
      </c>
      <c r="G14" s="2">
        <v>910</v>
      </c>
      <c r="H14" s="2">
        <v>905</v>
      </c>
      <c r="I14" s="2">
        <v>906</v>
      </c>
      <c r="J14" s="2">
        <v>904</v>
      </c>
      <c r="K14" s="2">
        <v>914</v>
      </c>
      <c r="L14" s="2">
        <v>917</v>
      </c>
      <c r="M14" s="2">
        <v>913</v>
      </c>
      <c r="N14" s="2">
        <v>913</v>
      </c>
      <c r="O14" s="2">
        <v>914</v>
      </c>
      <c r="P14" s="2">
        <v>915</v>
      </c>
      <c r="Q14" s="2">
        <v>910</v>
      </c>
      <c r="R14" s="2">
        <v>918</v>
      </c>
      <c r="S14" s="2">
        <v>914</v>
      </c>
      <c r="T14" s="2">
        <v>913</v>
      </c>
      <c r="U14" s="2">
        <v>914</v>
      </c>
      <c r="V14" s="2">
        <v>913</v>
      </c>
      <c r="W14" s="2">
        <v>913</v>
      </c>
      <c r="X14" s="2">
        <v>911</v>
      </c>
      <c r="Y14" s="2">
        <v>914</v>
      </c>
      <c r="Z14" s="2">
        <v>916</v>
      </c>
      <c r="AA14" s="2">
        <v>912</v>
      </c>
      <c r="AB14" s="2">
        <v>912</v>
      </c>
      <c r="AC14" s="3">
        <v>914</v>
      </c>
      <c r="AD14">
        <v>913.16</v>
      </c>
      <c r="AE14">
        <v>913</v>
      </c>
      <c r="AF14" s="5">
        <v>5.5051491048532579</v>
      </c>
    </row>
    <row r="15" spans="1:32" x14ac:dyDescent="0.25">
      <c r="A15" s="1" t="s">
        <v>8</v>
      </c>
      <c r="B15" s="1" t="s">
        <v>38</v>
      </c>
      <c r="C15" s="1" t="s">
        <v>2</v>
      </c>
      <c r="D15" s="1" t="s">
        <v>4</v>
      </c>
      <c r="E15" s="2">
        <v>946</v>
      </c>
      <c r="F15" s="2">
        <v>941</v>
      </c>
      <c r="G15" s="2">
        <v>942</v>
      </c>
      <c r="H15" s="2">
        <v>939</v>
      </c>
      <c r="I15" s="2">
        <v>941</v>
      </c>
      <c r="J15" s="2">
        <v>940</v>
      </c>
      <c r="K15" s="2">
        <v>940</v>
      </c>
      <c r="L15" s="2">
        <v>944</v>
      </c>
      <c r="M15" s="2">
        <v>946</v>
      </c>
      <c r="N15" s="2">
        <v>934</v>
      </c>
      <c r="O15" s="2">
        <v>933</v>
      </c>
      <c r="P15" s="2">
        <v>933</v>
      </c>
      <c r="Q15" s="2">
        <v>936</v>
      </c>
      <c r="R15" s="2">
        <v>934</v>
      </c>
      <c r="S15" s="2">
        <v>943</v>
      </c>
      <c r="T15" s="2">
        <v>957</v>
      </c>
      <c r="U15" s="2">
        <v>944</v>
      </c>
      <c r="V15" s="2">
        <v>945</v>
      </c>
      <c r="W15" s="2">
        <v>947</v>
      </c>
      <c r="X15" s="2">
        <v>945</v>
      </c>
      <c r="Y15" s="2">
        <v>944</v>
      </c>
      <c r="Z15" s="2">
        <v>943</v>
      </c>
      <c r="AA15" s="2">
        <v>944</v>
      </c>
      <c r="AB15" s="2">
        <v>931</v>
      </c>
      <c r="AC15" s="3">
        <v>940</v>
      </c>
      <c r="AD15">
        <v>941.28</v>
      </c>
      <c r="AE15">
        <v>942</v>
      </c>
      <c r="AF15" s="5">
        <v>5.6827223523002894</v>
      </c>
    </row>
    <row r="16" spans="1:32" x14ac:dyDescent="0.25">
      <c r="A16" s="1" t="s">
        <v>8</v>
      </c>
      <c r="B16" s="1" t="s">
        <v>37</v>
      </c>
      <c r="C16" s="1" t="s">
        <v>1</v>
      </c>
      <c r="D16" s="1" t="s">
        <v>4</v>
      </c>
      <c r="E16" s="2">
        <v>961</v>
      </c>
      <c r="F16" s="2">
        <v>947</v>
      </c>
      <c r="G16" s="2">
        <v>945</v>
      </c>
      <c r="H16" s="2">
        <v>945</v>
      </c>
      <c r="I16" s="2">
        <v>947</v>
      </c>
      <c r="J16" s="2">
        <v>943</v>
      </c>
      <c r="K16" s="2">
        <v>949</v>
      </c>
      <c r="L16" s="2">
        <v>955</v>
      </c>
      <c r="M16" s="2">
        <v>954</v>
      </c>
      <c r="N16" s="2">
        <v>954</v>
      </c>
      <c r="O16" s="2">
        <v>942</v>
      </c>
      <c r="P16" s="2">
        <v>955</v>
      </c>
      <c r="Q16" s="2">
        <v>954</v>
      </c>
      <c r="R16" s="2">
        <v>942</v>
      </c>
      <c r="S16" s="2">
        <v>940</v>
      </c>
      <c r="T16" s="2">
        <v>937</v>
      </c>
      <c r="U16" s="2">
        <v>939</v>
      </c>
      <c r="V16" s="2">
        <v>939</v>
      </c>
      <c r="W16" s="2">
        <v>959</v>
      </c>
      <c r="X16" s="2">
        <v>956</v>
      </c>
      <c r="Y16" s="2">
        <v>955</v>
      </c>
      <c r="Z16" s="2">
        <v>957</v>
      </c>
      <c r="AA16" s="2">
        <v>954</v>
      </c>
      <c r="AB16" s="2">
        <v>953</v>
      </c>
      <c r="AC16" s="3">
        <v>957</v>
      </c>
      <c r="AD16">
        <v>949.56</v>
      </c>
      <c r="AE16">
        <v>953</v>
      </c>
      <c r="AF16" s="5">
        <v>7.1768145208488345</v>
      </c>
    </row>
    <row r="17" spans="1:32" x14ac:dyDescent="0.25">
      <c r="A17" s="1" t="s">
        <v>8</v>
      </c>
      <c r="B17" s="1" t="s">
        <v>37</v>
      </c>
      <c r="C17" s="1" t="s">
        <v>2</v>
      </c>
      <c r="D17" s="1" t="s">
        <v>4</v>
      </c>
      <c r="E17" s="2">
        <v>963</v>
      </c>
      <c r="F17" s="2">
        <v>968</v>
      </c>
      <c r="G17" s="2">
        <v>973</v>
      </c>
      <c r="H17" s="2">
        <v>971</v>
      </c>
      <c r="I17" s="2">
        <v>973</v>
      </c>
      <c r="J17" s="2">
        <v>1001</v>
      </c>
      <c r="K17" s="2">
        <v>986</v>
      </c>
      <c r="L17" s="2">
        <v>987</v>
      </c>
      <c r="M17" s="2">
        <v>986</v>
      </c>
      <c r="N17" s="2">
        <v>989</v>
      </c>
      <c r="O17" s="2">
        <v>988</v>
      </c>
      <c r="P17" s="2">
        <v>987</v>
      </c>
      <c r="Q17" s="2">
        <v>989</v>
      </c>
      <c r="R17" s="2">
        <v>992</v>
      </c>
      <c r="S17" s="2">
        <v>988</v>
      </c>
      <c r="T17" s="2">
        <v>993</v>
      </c>
      <c r="U17" s="2">
        <v>981</v>
      </c>
      <c r="V17" s="2">
        <v>976</v>
      </c>
      <c r="W17" s="2">
        <v>980</v>
      </c>
      <c r="X17" s="2">
        <v>988</v>
      </c>
      <c r="Y17" s="2">
        <v>996</v>
      </c>
      <c r="Z17" s="2">
        <v>988</v>
      </c>
      <c r="AA17" s="2">
        <v>974</v>
      </c>
      <c r="AB17" s="2">
        <v>987</v>
      </c>
      <c r="AC17" s="3">
        <v>994</v>
      </c>
      <c r="AD17">
        <v>983.92</v>
      </c>
      <c r="AE17">
        <v>987</v>
      </c>
      <c r="AF17" s="5">
        <v>9.4070895251046345</v>
      </c>
    </row>
    <row r="18" spans="1:32" x14ac:dyDescent="0.25">
      <c r="A18" s="1" t="s">
        <v>8</v>
      </c>
      <c r="B18" s="1" t="s">
        <v>39</v>
      </c>
      <c r="C18" s="1" t="s">
        <v>1</v>
      </c>
      <c r="D18" s="1" t="s">
        <v>4</v>
      </c>
      <c r="E18" s="2">
        <v>1542</v>
      </c>
      <c r="F18" s="2">
        <v>1510</v>
      </c>
      <c r="G18" s="2">
        <v>1507</v>
      </c>
      <c r="H18" s="2">
        <v>1528</v>
      </c>
      <c r="I18" s="2">
        <v>1497</v>
      </c>
      <c r="J18" s="2">
        <v>1506</v>
      </c>
      <c r="K18" s="2">
        <v>1534</v>
      </c>
      <c r="L18" s="2">
        <v>1535</v>
      </c>
      <c r="M18" s="2">
        <v>1542</v>
      </c>
      <c r="N18" s="2">
        <v>1534</v>
      </c>
      <c r="O18" s="2">
        <v>1539</v>
      </c>
      <c r="P18" s="2">
        <v>1538</v>
      </c>
      <c r="Q18" s="2">
        <v>1538</v>
      </c>
      <c r="R18" s="2">
        <v>1549</v>
      </c>
      <c r="S18" s="2">
        <v>1533</v>
      </c>
      <c r="T18" s="2">
        <v>1543</v>
      </c>
      <c r="U18" s="2">
        <v>1542</v>
      </c>
      <c r="V18" s="2">
        <v>1537</v>
      </c>
      <c r="W18" s="2">
        <v>1535</v>
      </c>
      <c r="X18" s="2">
        <v>1529</v>
      </c>
      <c r="Y18" s="2">
        <v>1536</v>
      </c>
      <c r="Z18" s="2">
        <v>1535</v>
      </c>
      <c r="AA18" s="2">
        <v>1551</v>
      </c>
      <c r="AB18" s="2">
        <v>1534</v>
      </c>
      <c r="AC18" s="3">
        <v>1532</v>
      </c>
      <c r="AD18">
        <v>1532.24</v>
      </c>
      <c r="AE18">
        <v>1535</v>
      </c>
      <c r="AF18" s="5">
        <v>13.395521639712284</v>
      </c>
    </row>
    <row r="19" spans="1:32" x14ac:dyDescent="0.25">
      <c r="A19" s="1" t="s">
        <v>8</v>
      </c>
      <c r="B19" s="1" t="s">
        <v>39</v>
      </c>
      <c r="C19" s="1" t="s">
        <v>2</v>
      </c>
      <c r="D19" s="1" t="s">
        <v>4</v>
      </c>
      <c r="E19" s="2">
        <v>1183</v>
      </c>
      <c r="F19" s="2">
        <v>1186</v>
      </c>
      <c r="G19" s="2">
        <v>1196</v>
      </c>
      <c r="H19" s="2">
        <v>1167</v>
      </c>
      <c r="I19" s="2">
        <v>1169</v>
      </c>
      <c r="J19" s="2">
        <v>1187</v>
      </c>
      <c r="K19" s="2">
        <v>1185</v>
      </c>
      <c r="L19" s="2">
        <v>1201</v>
      </c>
      <c r="M19" s="2">
        <v>1203</v>
      </c>
      <c r="N19" s="2">
        <v>1203</v>
      </c>
      <c r="O19" s="2">
        <v>1208</v>
      </c>
      <c r="P19" s="2">
        <v>1246</v>
      </c>
      <c r="Q19" s="2">
        <v>1247</v>
      </c>
      <c r="R19" s="2">
        <v>1260</v>
      </c>
      <c r="S19" s="2">
        <v>1226</v>
      </c>
      <c r="T19" s="2">
        <v>1225</v>
      </c>
      <c r="U19" s="2">
        <v>1224</v>
      </c>
      <c r="V19" s="2">
        <v>1223</v>
      </c>
      <c r="W19" s="2">
        <v>1216</v>
      </c>
      <c r="X19" s="2">
        <v>1212</v>
      </c>
      <c r="Y19" s="2">
        <v>1209</v>
      </c>
      <c r="Z19" s="2">
        <v>1212</v>
      </c>
      <c r="AA19" s="2">
        <v>1208</v>
      </c>
      <c r="AB19" s="2">
        <v>1210</v>
      </c>
      <c r="AC19" s="3">
        <v>1212</v>
      </c>
      <c r="AD19">
        <v>1208.72</v>
      </c>
      <c r="AE19">
        <v>1209</v>
      </c>
      <c r="AF19" s="5">
        <v>22.722089105831216</v>
      </c>
    </row>
    <row r="20" spans="1:32" x14ac:dyDescent="0.25">
      <c r="A20" s="1" t="s">
        <v>0</v>
      </c>
      <c r="B20" s="1" t="s">
        <v>38</v>
      </c>
      <c r="C20" s="1" t="s">
        <v>1</v>
      </c>
      <c r="D20" s="1" t="s">
        <v>4</v>
      </c>
      <c r="E20" s="2">
        <v>1305</v>
      </c>
      <c r="F20" s="2">
        <v>1309</v>
      </c>
      <c r="G20" s="2">
        <v>1289</v>
      </c>
      <c r="H20" s="2">
        <v>1286</v>
      </c>
      <c r="I20" s="2">
        <v>1288</v>
      </c>
      <c r="J20" s="2">
        <v>1295</v>
      </c>
      <c r="K20" s="2">
        <v>1293</v>
      </c>
      <c r="L20" s="2">
        <v>1292</v>
      </c>
      <c r="M20" s="2">
        <v>1294</v>
      </c>
      <c r="N20" s="2">
        <v>1293</v>
      </c>
      <c r="O20" s="2">
        <v>1299</v>
      </c>
      <c r="P20" s="2">
        <v>1314</v>
      </c>
      <c r="Q20" s="2">
        <v>1304</v>
      </c>
      <c r="R20" s="2">
        <v>1301</v>
      </c>
      <c r="S20" s="2">
        <v>1307</v>
      </c>
      <c r="T20" s="2">
        <v>1302</v>
      </c>
      <c r="U20" s="2">
        <v>1308</v>
      </c>
      <c r="V20" s="2">
        <v>1304</v>
      </c>
      <c r="W20" s="2">
        <v>1303</v>
      </c>
      <c r="X20" s="2">
        <v>1304</v>
      </c>
      <c r="Y20" s="2">
        <v>1303</v>
      </c>
      <c r="Z20" s="2">
        <v>1335</v>
      </c>
      <c r="AA20" s="2">
        <v>1381</v>
      </c>
      <c r="AB20" s="2">
        <v>1336</v>
      </c>
      <c r="AC20" s="3">
        <v>1342</v>
      </c>
      <c r="AD20">
        <f>AVERAGE(E20:AC20)</f>
        <v>1307.48</v>
      </c>
      <c r="AE20">
        <f>MEDIAN(E20:AC20)</f>
        <v>1303</v>
      </c>
      <c r="AF20" s="5">
        <f>_xlfn.STDEV.S(E20:AC20)</f>
        <v>21.033940825881075</v>
      </c>
    </row>
    <row r="21" spans="1:32" x14ac:dyDescent="0.25">
      <c r="A21" s="1" t="s">
        <v>0</v>
      </c>
      <c r="B21" s="1" t="s">
        <v>38</v>
      </c>
      <c r="C21" s="1" t="s">
        <v>2</v>
      </c>
      <c r="D21" s="1" t="s">
        <v>4</v>
      </c>
      <c r="E21" s="2">
        <v>1415</v>
      </c>
      <c r="F21" s="2">
        <v>1359</v>
      </c>
      <c r="G21" s="2">
        <v>1385</v>
      </c>
      <c r="H21" s="2">
        <v>1376</v>
      </c>
      <c r="I21" s="2">
        <v>1375</v>
      </c>
      <c r="J21" s="2">
        <v>1356</v>
      </c>
      <c r="K21" s="2">
        <v>1372</v>
      </c>
      <c r="L21" s="2">
        <v>1377</v>
      </c>
      <c r="M21" s="2">
        <v>1372</v>
      </c>
      <c r="N21" s="2">
        <v>1373</v>
      </c>
      <c r="O21" s="2">
        <v>1408</v>
      </c>
      <c r="P21" s="2">
        <v>1388</v>
      </c>
      <c r="Q21" s="2">
        <v>1372</v>
      </c>
      <c r="R21" s="2">
        <v>1368</v>
      </c>
      <c r="S21" s="2">
        <v>1369</v>
      </c>
      <c r="T21" s="2">
        <v>1391</v>
      </c>
      <c r="U21" s="2">
        <v>1373</v>
      </c>
      <c r="V21" s="2">
        <v>1370</v>
      </c>
      <c r="W21" s="2">
        <v>1366</v>
      </c>
      <c r="X21" s="2">
        <v>1357</v>
      </c>
      <c r="Y21" s="2">
        <v>1359</v>
      </c>
      <c r="Z21" s="2">
        <v>1355</v>
      </c>
      <c r="AA21" s="2">
        <v>1361</v>
      </c>
      <c r="AB21" s="2">
        <v>1365</v>
      </c>
      <c r="AC21" s="3">
        <v>1361</v>
      </c>
      <c r="AD21">
        <f>AVERAGE(E21:AC21)</f>
        <v>1372.92</v>
      </c>
      <c r="AE21">
        <f>MEDIAN(E21:AC21)</f>
        <v>1372</v>
      </c>
      <c r="AF21" s="5">
        <f>_xlfn.STDEV.S(E21:AC21)</f>
        <v>15.035846057560807</v>
      </c>
    </row>
    <row r="22" spans="1:32" x14ac:dyDescent="0.25">
      <c r="A22" s="1" t="s">
        <v>0</v>
      </c>
      <c r="B22" s="1" t="s">
        <v>37</v>
      </c>
      <c r="C22" s="1" t="s">
        <v>1</v>
      </c>
      <c r="D22" s="1" t="s">
        <v>4</v>
      </c>
      <c r="E22" s="2">
        <v>1352</v>
      </c>
      <c r="F22" s="2">
        <v>1352</v>
      </c>
      <c r="G22" s="2">
        <v>1350</v>
      </c>
      <c r="H22" s="2">
        <v>1356</v>
      </c>
      <c r="I22" s="2">
        <v>1350</v>
      </c>
      <c r="J22" s="2">
        <v>1352</v>
      </c>
      <c r="K22" s="2">
        <v>1384</v>
      </c>
      <c r="L22" s="2">
        <v>1379</v>
      </c>
      <c r="M22" s="2">
        <v>1384</v>
      </c>
      <c r="N22" s="2">
        <v>1388</v>
      </c>
      <c r="O22" s="2">
        <v>1375</v>
      </c>
      <c r="P22" s="2">
        <v>1378</v>
      </c>
      <c r="Q22" s="2">
        <v>1376</v>
      </c>
      <c r="R22" s="2">
        <v>1461</v>
      </c>
      <c r="S22" s="2">
        <v>1393</v>
      </c>
      <c r="T22" s="2">
        <v>1481</v>
      </c>
      <c r="U22" s="2">
        <v>1418</v>
      </c>
      <c r="V22" s="2">
        <v>1437</v>
      </c>
      <c r="W22" s="2">
        <v>1447</v>
      </c>
      <c r="X22" s="2">
        <v>1375</v>
      </c>
      <c r="Y22" s="2">
        <v>1359</v>
      </c>
      <c r="Z22" s="2">
        <v>1388</v>
      </c>
      <c r="AA22" s="2">
        <v>1402</v>
      </c>
      <c r="AB22" s="2">
        <v>1398</v>
      </c>
      <c r="AC22" s="3">
        <v>1390</v>
      </c>
      <c r="AD22">
        <f>AVERAGE(E22:AC22)</f>
        <v>1389</v>
      </c>
      <c r="AE22">
        <f>MEDIAN(E22:AC22)</f>
        <v>1384</v>
      </c>
      <c r="AF22" s="5">
        <f>_xlfn.STDEV.S(E22:AC22)</f>
        <v>35.587919298548492</v>
      </c>
    </row>
    <row r="23" spans="1:32" x14ac:dyDescent="0.25">
      <c r="A23" s="1" t="s">
        <v>0</v>
      </c>
      <c r="B23" s="1" t="s">
        <v>37</v>
      </c>
      <c r="C23" s="1" t="s">
        <v>2</v>
      </c>
      <c r="D23" s="1" t="s">
        <v>4</v>
      </c>
      <c r="E23" s="2">
        <v>1478</v>
      </c>
      <c r="F23" s="2">
        <v>1456</v>
      </c>
      <c r="G23" s="2">
        <v>1439</v>
      </c>
      <c r="H23" s="2">
        <v>1442</v>
      </c>
      <c r="I23" s="2">
        <v>1443</v>
      </c>
      <c r="J23" s="2">
        <v>1439</v>
      </c>
      <c r="K23" s="2">
        <v>1444</v>
      </c>
      <c r="L23" s="2">
        <v>1424</v>
      </c>
      <c r="M23" s="2">
        <v>1420</v>
      </c>
      <c r="N23" s="2">
        <v>1455</v>
      </c>
      <c r="O23" s="2">
        <v>1452</v>
      </c>
      <c r="P23" s="2">
        <v>1451</v>
      </c>
      <c r="Q23" s="2">
        <v>1451</v>
      </c>
      <c r="R23" s="2">
        <v>1452</v>
      </c>
      <c r="S23" s="2">
        <v>1449</v>
      </c>
      <c r="T23" s="2">
        <v>1456</v>
      </c>
      <c r="U23" s="2">
        <v>1453</v>
      </c>
      <c r="V23" s="2">
        <v>1454</v>
      </c>
      <c r="W23" s="2">
        <v>1478</v>
      </c>
      <c r="X23" s="2">
        <v>1459</v>
      </c>
      <c r="Y23" s="2">
        <v>1465</v>
      </c>
      <c r="Z23" s="2">
        <v>1459</v>
      </c>
      <c r="AA23" s="2">
        <v>1453</v>
      </c>
      <c r="AB23" s="2">
        <v>1463</v>
      </c>
      <c r="AC23" s="3">
        <v>1449</v>
      </c>
      <c r="AD23">
        <f>AVERAGE(E23:AC23)</f>
        <v>1451.36</v>
      </c>
      <c r="AE23">
        <f>MEDIAN(E23:AC23)</f>
        <v>1452</v>
      </c>
      <c r="AF23" s="5">
        <f>_xlfn.STDEV.S(E23:AC23)</f>
        <v>13.209466302617981</v>
      </c>
    </row>
    <row r="24" spans="1:32" x14ac:dyDescent="0.25">
      <c r="A24" s="1" t="s">
        <v>0</v>
      </c>
      <c r="B24" s="1" t="s">
        <v>39</v>
      </c>
      <c r="C24" s="1" t="s">
        <v>1</v>
      </c>
      <c r="D24" s="1" t="s">
        <v>4</v>
      </c>
      <c r="E24" s="2">
        <v>1384</v>
      </c>
      <c r="F24" s="2">
        <v>1379</v>
      </c>
      <c r="G24" s="2">
        <v>1372</v>
      </c>
      <c r="H24" s="2">
        <v>1351</v>
      </c>
      <c r="I24" s="2">
        <v>1351</v>
      </c>
      <c r="J24" s="2">
        <v>1385</v>
      </c>
      <c r="K24" s="2">
        <v>1380</v>
      </c>
      <c r="L24" s="2">
        <v>1375</v>
      </c>
      <c r="M24" s="2">
        <v>1379</v>
      </c>
      <c r="N24" s="2">
        <v>1378</v>
      </c>
      <c r="O24" s="2">
        <v>1382</v>
      </c>
      <c r="P24" s="2">
        <v>1380</v>
      </c>
      <c r="Q24" s="2">
        <v>1381</v>
      </c>
      <c r="R24" s="2">
        <v>1379</v>
      </c>
      <c r="S24" s="2">
        <v>1382</v>
      </c>
      <c r="T24" s="2">
        <v>1385</v>
      </c>
      <c r="U24" s="2">
        <v>1378</v>
      </c>
      <c r="V24" s="2">
        <v>1369</v>
      </c>
      <c r="W24" s="2">
        <v>1382</v>
      </c>
      <c r="X24" s="2">
        <v>1386</v>
      </c>
      <c r="Y24" s="2">
        <v>1393</v>
      </c>
      <c r="Z24" s="2">
        <v>1380</v>
      </c>
      <c r="AA24" s="2">
        <v>1386</v>
      </c>
      <c r="AB24" s="2">
        <v>1428</v>
      </c>
      <c r="AC24" s="3">
        <v>1377</v>
      </c>
      <c r="AD24">
        <f t="shared" ref="AD24:AD25" si="3">AVERAGE(E24:AC24)</f>
        <v>1380.08</v>
      </c>
      <c r="AE24">
        <f t="shared" ref="AE24:AE25" si="4">MEDIAN(E24:AC24)</f>
        <v>1380</v>
      </c>
      <c r="AF24" s="5">
        <f t="shared" ref="AF24:AF25" si="5">_xlfn.STDEV.S(E24:AC24)</f>
        <v>13.747484618406865</v>
      </c>
    </row>
    <row r="25" spans="1:32" x14ac:dyDescent="0.25">
      <c r="A25" s="1" t="s">
        <v>0</v>
      </c>
      <c r="B25" s="1" t="s">
        <v>39</v>
      </c>
      <c r="C25" s="1" t="s">
        <v>2</v>
      </c>
      <c r="D25" s="1" t="s">
        <v>4</v>
      </c>
      <c r="E25" s="2">
        <v>1400</v>
      </c>
      <c r="F25" s="2">
        <v>1378</v>
      </c>
      <c r="G25" s="2">
        <v>1384</v>
      </c>
      <c r="H25" s="2">
        <v>1405</v>
      </c>
      <c r="I25" s="2">
        <v>1407</v>
      </c>
      <c r="J25" s="2">
        <v>1412</v>
      </c>
      <c r="K25" s="2">
        <v>1413</v>
      </c>
      <c r="L25" s="2">
        <v>1410</v>
      </c>
      <c r="M25" s="2">
        <v>1412</v>
      </c>
      <c r="N25" s="2">
        <v>1396</v>
      </c>
      <c r="O25" s="2">
        <v>1402</v>
      </c>
      <c r="P25" s="2">
        <v>1405</v>
      </c>
      <c r="Q25" s="2">
        <v>1404</v>
      </c>
      <c r="R25" s="2">
        <v>1406</v>
      </c>
      <c r="S25" s="2">
        <v>1403</v>
      </c>
      <c r="T25" s="2">
        <v>1409</v>
      </c>
      <c r="U25" s="2">
        <v>1403</v>
      </c>
      <c r="V25" s="2">
        <v>1409</v>
      </c>
      <c r="W25" s="2">
        <v>1413</v>
      </c>
      <c r="X25" s="2">
        <v>1401</v>
      </c>
      <c r="Y25" s="2">
        <v>1395</v>
      </c>
      <c r="Z25" s="2">
        <v>1392</v>
      </c>
      <c r="AA25" s="2">
        <v>1394</v>
      </c>
      <c r="AB25" s="2">
        <v>1399</v>
      </c>
      <c r="AC25" s="3">
        <v>1400</v>
      </c>
      <c r="AD25">
        <f t="shared" si="3"/>
        <v>1402.08</v>
      </c>
      <c r="AE25">
        <f t="shared" si="4"/>
        <v>1403</v>
      </c>
      <c r="AF25" s="5">
        <f t="shared" si="5"/>
        <v>8.7460467259975996</v>
      </c>
    </row>
    <row r="26" spans="1:32" x14ac:dyDescent="0.25">
      <c r="E26" s="3"/>
    </row>
    <row r="27" spans="1:32" x14ac:dyDescent="0.25">
      <c r="B27" s="2"/>
      <c r="C27" s="2"/>
      <c r="D27" s="2"/>
    </row>
    <row r="31" spans="1:32" x14ac:dyDescent="0.25">
      <c r="B31" s="2"/>
      <c r="C31" s="2"/>
      <c r="D31" s="2"/>
    </row>
    <row r="32" spans="1:32" x14ac:dyDescent="0.25">
      <c r="B32" s="2"/>
      <c r="C32" s="2"/>
      <c r="D32" s="2"/>
    </row>
    <row r="33" spans="1:31" x14ac:dyDescent="0.25">
      <c r="B33" s="4"/>
      <c r="C33" s="4"/>
      <c r="D33" s="4"/>
      <c r="E33" s="4"/>
    </row>
    <row r="36" spans="1:31" x14ac:dyDescent="0.25">
      <c r="F36" s="4"/>
      <c r="H36" s="2"/>
    </row>
    <row r="37" spans="1:31" x14ac:dyDescent="0.25">
      <c r="A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3"/>
    </row>
    <row r="38" spans="1:31" x14ac:dyDescent="0.25">
      <c r="A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3"/>
    </row>
    <row r="39" spans="1:31" x14ac:dyDescent="0.25">
      <c r="A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3"/>
    </row>
    <row r="40" spans="1:31" x14ac:dyDescent="0.25">
      <c r="A40" s="1"/>
      <c r="E40" s="2"/>
      <c r="F40" s="2"/>
      <c r="G40" s="2"/>
      <c r="H40" s="2"/>
      <c r="I40" s="2"/>
      <c r="J40" s="2"/>
      <c r="K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3"/>
    </row>
    <row r="41" spans="1:31" x14ac:dyDescent="0.25">
      <c r="A41" s="1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</row>
    <row r="42" spans="1:31" x14ac:dyDescent="0.25">
      <c r="A42" s="1"/>
      <c r="E42" s="4"/>
      <c r="F42" s="4"/>
      <c r="G42" s="4"/>
      <c r="H42" s="4"/>
      <c r="I42" s="4"/>
      <c r="J42" s="4"/>
      <c r="K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3"/>
    </row>
    <row r="43" spans="1:31" x14ac:dyDescent="0.25">
      <c r="F43" s="4"/>
      <c r="H43" s="2"/>
    </row>
    <row r="44" spans="1:31" x14ac:dyDescent="0.25">
      <c r="F44" s="4"/>
      <c r="H44" s="2"/>
    </row>
    <row r="45" spans="1:31" x14ac:dyDescent="0.25">
      <c r="F45" s="4"/>
      <c r="H45" s="2"/>
    </row>
    <row r="46" spans="1:31" x14ac:dyDescent="0.25">
      <c r="F46" s="4"/>
      <c r="H46" s="2"/>
    </row>
    <row r="47" spans="1:31" x14ac:dyDescent="0.25">
      <c r="F47" s="4"/>
      <c r="H47" s="2"/>
    </row>
    <row r="48" spans="1:31" x14ac:dyDescent="0.25">
      <c r="F48" s="4"/>
      <c r="H48" s="2"/>
    </row>
    <row r="49" spans="6:8" x14ac:dyDescent="0.25">
      <c r="F49" s="4"/>
      <c r="H49" s="2"/>
    </row>
    <row r="50" spans="6:8" x14ac:dyDescent="0.25">
      <c r="F50" s="4"/>
      <c r="H50" s="2"/>
    </row>
    <row r="51" spans="6:8" x14ac:dyDescent="0.25">
      <c r="F51" s="4"/>
      <c r="H51" s="2"/>
    </row>
    <row r="52" spans="6:8" x14ac:dyDescent="0.25">
      <c r="H52" s="3"/>
    </row>
  </sheetData>
  <phoneticPr fontId="3" type="noConversion"/>
  <pageMargins left="0.7" right="0.7" top="0.78740157499999996" bottom="0.78740157499999996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Rittberger Florian - s2310307083</dc:creator>
  <cp:lastModifiedBy>Rittberger Florian - s2310307083</cp:lastModifiedBy>
  <dcterms:created xsi:type="dcterms:W3CDTF">2025-12-12T17:45:43Z</dcterms:created>
  <dcterms:modified xsi:type="dcterms:W3CDTF">2025-12-21T19:14:48Z</dcterms:modified>
</cp:coreProperties>
</file>